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Z:\080_marketing_zjawnostne-dzelo\100_webstrona\dokumenty_download\skazanki-za-wucbnicy\gesperrt\2025\"/>
    </mc:Choice>
  </mc:AlternateContent>
  <xr:revisionPtr revIDLastSave="0" documentId="8_{F35CF204-F0EB-48B8-9160-CAABD73D071C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A-zakladne-3-kat zalozba" sheetId="2" r:id="rId1"/>
    <sheet name="Tabelle1" sheetId="3" r:id="rId2"/>
    <sheet name="Tabelle1 (4)" sheetId="6" r:id="rId3"/>
    <sheet name="Tabelle1 (5)" sheetId="7" r:id="rId4"/>
    <sheet name="Kompatibilitätsbericht" sheetId="8" r:id="rId5"/>
  </sheets>
  <definedNames>
    <definedName name="_xlnm.Print_Area" localSheetId="0">'A-zakladne-3-kat zalozba'!$A$1:$G$303</definedName>
    <definedName name="OLE_LINK1" localSheetId="0">'A-zakladne-3-kat zalozba'!#REF!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2" i="2" l="1"/>
  <c r="F261" i="2"/>
  <c r="F260" i="2"/>
  <c r="F259" i="2"/>
  <c r="F258" i="2"/>
  <c r="F264" i="2"/>
  <c r="F263" i="2"/>
  <c r="F257" i="2"/>
  <c r="F265" i="2" l="1"/>
  <c r="F156" i="2"/>
  <c r="F155" i="2"/>
  <c r="F154" i="2"/>
  <c r="F149" i="2"/>
  <c r="F153" i="2"/>
  <c r="F35" i="2"/>
  <c r="F37" i="2"/>
  <c r="F36" i="2"/>
  <c r="F34" i="2"/>
  <c r="F147" i="2"/>
  <c r="F139" i="2"/>
  <c r="F159" i="2"/>
  <c r="F148" i="2"/>
  <c r="F146" i="2"/>
  <c r="F28" i="2"/>
  <c r="F27" i="2"/>
  <c r="F248" i="2"/>
  <c r="F167" i="2"/>
  <c r="F168" i="2"/>
  <c r="F169" i="2"/>
  <c r="F170" i="2"/>
  <c r="F171" i="2"/>
  <c r="F172" i="2"/>
  <c r="F173" i="2"/>
  <c r="F174" i="2"/>
  <c r="F175" i="2"/>
  <c r="F237" i="2"/>
  <c r="F251" i="2"/>
  <c r="F245" i="2"/>
  <c r="F242" i="2"/>
  <c r="F236" i="2"/>
  <c r="F219" i="2"/>
  <c r="F145" i="2"/>
  <c r="F98" i="2"/>
  <c r="F103" i="2"/>
  <c r="F26" i="2"/>
  <c r="F116" i="2"/>
  <c r="F117" i="2"/>
  <c r="F118" i="2"/>
  <c r="F119" i="2"/>
  <c r="F120" i="2"/>
  <c r="F121" i="2"/>
  <c r="F122" i="2"/>
  <c r="F123" i="2"/>
  <c r="F124" i="2"/>
  <c r="F125" i="2"/>
  <c r="F126" i="2"/>
  <c r="F181" i="2"/>
  <c r="F182" i="2"/>
  <c r="F183" i="2"/>
  <c r="F184" i="2"/>
  <c r="F185" i="2"/>
  <c r="F186" i="2"/>
  <c r="F187" i="2"/>
  <c r="F188" i="2"/>
  <c r="F189" i="2"/>
  <c r="F165" i="2"/>
  <c r="F166" i="2"/>
  <c r="F133" i="2"/>
  <c r="F134" i="2"/>
  <c r="F109" i="2"/>
  <c r="F110" i="2"/>
  <c r="F90" i="2"/>
  <c r="F89" i="2"/>
  <c r="F25" i="2"/>
  <c r="F24" i="2"/>
  <c r="F13" i="2"/>
  <c r="F17" i="2"/>
  <c r="F18" i="2"/>
  <c r="F19" i="2"/>
  <c r="F20" i="2"/>
  <c r="F21" i="2"/>
  <c r="F22" i="2"/>
  <c r="F23" i="2"/>
  <c r="F160" i="2"/>
  <c r="F144" i="2"/>
  <c r="F217" i="2"/>
  <c r="F223" i="2"/>
  <c r="F132" i="2"/>
  <c r="F42" i="2"/>
  <c r="F72" i="2"/>
  <c r="F71" i="2"/>
  <c r="F73" i="2"/>
  <c r="F70" i="2"/>
  <c r="F230" i="2"/>
  <c r="F40" i="2"/>
  <c r="F235" i="2"/>
  <c r="F234" i="2"/>
  <c r="F231" i="2"/>
  <c r="F229" i="2"/>
  <c r="F228" i="2"/>
  <c r="F225" i="2"/>
  <c r="F222" i="2"/>
  <c r="F216" i="2"/>
  <c r="F211" i="2"/>
  <c r="F210" i="2"/>
  <c r="F208" i="2"/>
  <c r="F207" i="2"/>
  <c r="F206" i="2"/>
  <c r="F205" i="2"/>
  <c r="F204" i="2"/>
  <c r="F202" i="2"/>
  <c r="F201" i="2"/>
  <c r="F199" i="2"/>
  <c r="F192" i="2"/>
  <c r="F180" i="2"/>
  <c r="F164" i="2"/>
  <c r="F161" i="2"/>
  <c r="F158" i="2"/>
  <c r="F157" i="2"/>
  <c r="F150" i="2"/>
  <c r="F136" i="2"/>
  <c r="F151" i="2"/>
  <c r="F135" i="2"/>
  <c r="F152" i="2"/>
  <c r="F137" i="2"/>
  <c r="F143" i="2"/>
  <c r="F142" i="2"/>
  <c r="F141" i="2"/>
  <c r="F140" i="2"/>
  <c r="F138" i="2"/>
  <c r="F115" i="2"/>
  <c r="F108" i="2"/>
  <c r="F102" i="2"/>
  <c r="F101" i="2"/>
  <c r="F100" i="2"/>
  <c r="F97" i="2"/>
  <c r="F96" i="2"/>
  <c r="F95" i="2"/>
  <c r="F94" i="2"/>
  <c r="F93" i="2"/>
  <c r="F88" i="2"/>
  <c r="F87" i="2"/>
  <c r="F84" i="2"/>
  <c r="F81" i="2"/>
  <c r="F80" i="2"/>
  <c r="F79" i="2"/>
  <c r="F78" i="2"/>
  <c r="F69" i="2"/>
  <c r="F68" i="2"/>
  <c r="F67" i="2"/>
  <c r="F66" i="2"/>
  <c r="F63" i="2"/>
  <c r="F62" i="2"/>
  <c r="F61" i="2"/>
  <c r="F60" i="2"/>
  <c r="F59" i="2"/>
  <c r="F58" i="2"/>
  <c r="F57" i="2"/>
  <c r="F56" i="2"/>
  <c r="F55" i="2"/>
  <c r="F52" i="2"/>
  <c r="F51" i="2"/>
  <c r="F50" i="2"/>
  <c r="F49" i="2"/>
  <c r="F48" i="2"/>
  <c r="F47" i="2"/>
  <c r="F46" i="2"/>
  <c r="F45" i="2"/>
  <c r="F44" i="2"/>
  <c r="F43" i="2"/>
  <c r="F41" i="2"/>
  <c r="F39" i="2"/>
  <c r="F38" i="2"/>
  <c r="F33" i="2"/>
  <c r="F32" i="2"/>
  <c r="F31" i="2"/>
  <c r="F12" i="2"/>
  <c r="F111" i="2" l="1"/>
  <c r="F212" i="2"/>
  <c r="F238" i="2"/>
  <c r="F104" i="2"/>
  <c r="F127" i="2"/>
  <c r="F176" i="2"/>
  <c r="F193" i="2"/>
  <c r="F74" i="2"/>
  <c r="F252" i="2"/>
  <c r="F266" i="2" l="1"/>
</calcChain>
</file>

<file path=xl/sharedStrings.xml><?xml version="1.0" encoding="utf-8"?>
<sst xmlns="http://schemas.openxmlformats.org/spreadsheetml/2006/main" count="630" uniqueCount="560">
  <si>
    <t>Zakładna šula - Grundschule</t>
  </si>
  <si>
    <t>c</t>
  </si>
  <si>
    <t xml:space="preserve">Knihi, kotrež so wot Załožby za serbski lud spěchuja </t>
  </si>
  <si>
    <t>Buchtitel, welche von der Stiftung für das sorbische Volk gefördert werden</t>
  </si>
  <si>
    <t xml:space="preserve">skaz. čisło </t>
  </si>
  <si>
    <t>ISBN
978-3-7420-</t>
  </si>
  <si>
    <t>titl</t>
  </si>
  <si>
    <t>płaćizna €</t>
  </si>
  <si>
    <t>mnóstwo</t>
  </si>
  <si>
    <t>cyłkownje w €</t>
  </si>
  <si>
    <t>Bestellnummer</t>
  </si>
  <si>
    <t>Buchtitel</t>
  </si>
  <si>
    <t>Preis in €</t>
  </si>
  <si>
    <t>Anzahl</t>
  </si>
  <si>
    <t>Gesamtsumme in €</t>
  </si>
  <si>
    <t>Serbšćina / Sorbisch</t>
  </si>
  <si>
    <t>1. lětnik / Klasse</t>
  </si>
  <si>
    <r>
      <t>1/157/23-2A</t>
    </r>
    <r>
      <rPr>
        <sz val="11"/>
        <rFont val="Cambria"/>
        <family val="1"/>
      </rPr>
      <t>*</t>
    </r>
  </si>
  <si>
    <t>2617-0</t>
  </si>
  <si>
    <t>Naša fibla</t>
  </si>
  <si>
    <t>1/162/22-2A</t>
  </si>
  <si>
    <t>2629-3</t>
  </si>
  <si>
    <r>
      <t xml:space="preserve">Wuknu a zwučuju pisać 1  </t>
    </r>
    <r>
      <rPr>
        <i/>
        <sz val="11"/>
        <rFont val="Times New Roman"/>
        <family val="1"/>
      </rPr>
      <t xml:space="preserve">(šulske wuchadne pismo), </t>
    </r>
    <r>
      <rPr>
        <sz val="11"/>
        <rFont val="Times New Roman"/>
        <family val="1"/>
      </rPr>
      <t>pisanski zešiwk</t>
    </r>
  </si>
  <si>
    <t>2628-6</t>
  </si>
  <si>
    <r>
      <t xml:space="preserve">Zwučujemy a pisamy 1 </t>
    </r>
    <r>
      <rPr>
        <i/>
        <sz val="11"/>
        <rFont val="Times New Roman"/>
        <family val="1"/>
      </rPr>
      <t>(šulske wuchadne pismo)</t>
    </r>
    <r>
      <rPr>
        <sz val="11"/>
        <rFont val="Times New Roman"/>
        <family val="1"/>
      </rPr>
      <t>, dźěłowy zešiwk k fibli</t>
    </r>
  </si>
  <si>
    <t>1/160/22-2A</t>
  </si>
  <si>
    <t>2619-4</t>
  </si>
  <si>
    <r>
      <t xml:space="preserve">Wuknu a zwučuju pisać </t>
    </r>
    <r>
      <rPr>
        <i/>
        <sz val="11"/>
        <rFont val="Times New Roman"/>
        <family val="1"/>
      </rPr>
      <t xml:space="preserve">(ćišćane pismo), </t>
    </r>
    <r>
      <rPr>
        <sz val="11"/>
        <rFont val="Times New Roman"/>
        <family val="1"/>
      </rPr>
      <t>pisanski zešiwk</t>
    </r>
  </si>
  <si>
    <t>1/159/22-2A</t>
  </si>
  <si>
    <t>2618-7</t>
  </si>
  <si>
    <r>
      <t xml:space="preserve">Zwučujemy a pisamy 1 </t>
    </r>
    <r>
      <rPr>
        <i/>
        <sz val="11"/>
        <rFont val="Times New Roman"/>
        <family val="1"/>
      </rPr>
      <t>(ćišćane pismo),</t>
    </r>
    <r>
      <rPr>
        <sz val="11"/>
        <rFont val="Times New Roman"/>
        <family val="1"/>
      </rPr>
      <t xml:space="preserve"> 
dźěłowy zešiwk k fibli</t>
    </r>
  </si>
  <si>
    <t>1/107/09-2B*</t>
  </si>
  <si>
    <t>1250-0</t>
  </si>
  <si>
    <t xml:space="preserve">IAU - fibla </t>
  </si>
  <si>
    <t>1/115/09-2B</t>
  </si>
  <si>
    <t>1299-9</t>
  </si>
  <si>
    <r>
      <t>Pisam serbsce 1, 1. dźěl,</t>
    </r>
    <r>
      <rPr>
        <i/>
        <sz val="11"/>
        <rFont val="Times New Roman"/>
        <family val="1"/>
      </rPr>
      <t xml:space="preserve"> (šulske wuchadne pismo)</t>
    </r>
    <r>
      <rPr>
        <sz val="11"/>
        <rFont val="Times New Roman"/>
        <family val="1"/>
      </rPr>
      <t>, dźěłowy zešiwk k IAU</t>
    </r>
  </si>
  <si>
    <t>1/127/10-1B</t>
  </si>
  <si>
    <t>1412-2</t>
  </si>
  <si>
    <r>
      <t xml:space="preserve">Pisam serbsce 1, 1. dźěl </t>
    </r>
    <r>
      <rPr>
        <i/>
        <sz val="11"/>
        <rFont val="Times New Roman"/>
        <family val="1"/>
      </rPr>
      <t>(ćišćane pismo)</t>
    </r>
    <r>
      <rPr>
        <sz val="11"/>
        <rFont val="Times New Roman"/>
        <family val="1"/>
      </rPr>
      <t>, dźěłowy zešiwk k IAU</t>
    </r>
  </si>
  <si>
    <t>1/106/04-2B*</t>
  </si>
  <si>
    <t>1249-4</t>
  </si>
  <si>
    <t>Moja serbska fibla</t>
  </si>
  <si>
    <t>1/116/09-2B</t>
  </si>
  <si>
    <t>1300-2</t>
  </si>
  <si>
    <r>
      <t>Pisam serbsce 1, 2. dźěl,</t>
    </r>
    <r>
      <rPr>
        <i/>
        <sz val="11"/>
        <rFont val="Times New Roman"/>
        <family val="1"/>
      </rPr>
      <t xml:space="preserve"> (šulske wuchadne pismo)</t>
    </r>
    <r>
      <rPr>
        <sz val="11"/>
        <rFont val="Times New Roman"/>
        <family val="1"/>
      </rPr>
      <t>, dźěłowy zešiwk k Moja serbska fibla</t>
    </r>
  </si>
  <si>
    <t>1/128/10-1B</t>
  </si>
  <si>
    <t>1413-9</t>
  </si>
  <si>
    <r>
      <t xml:space="preserve">Pisam serbsce 1, 2. dźěl </t>
    </r>
    <r>
      <rPr>
        <i/>
        <sz val="11"/>
        <rFont val="Times New Roman"/>
        <family val="1"/>
      </rPr>
      <t>(ćišćane pismo)</t>
    </r>
    <r>
      <rPr>
        <sz val="11"/>
        <rFont val="Times New Roman"/>
        <family val="1"/>
      </rPr>
      <t>, dźěłowy zešiwk k Moja serbska fibla</t>
    </r>
  </si>
  <si>
    <t>1/136/14-2B</t>
  </si>
  <si>
    <t>1475-7</t>
  </si>
  <si>
    <t>Wuknjemy serbsce 1 - wobrazowe karty za šulerja</t>
  </si>
  <si>
    <t>1/144/20-3B</t>
  </si>
  <si>
    <t>1498-6</t>
  </si>
  <si>
    <t>Čitanske zwučowanja, dźěłowy zešiwk</t>
  </si>
  <si>
    <t>2720-7</t>
  </si>
  <si>
    <t>Pismikowy zešiwk, dźěłowy zešiwk</t>
  </si>
  <si>
    <t>1/171/23-1A</t>
  </si>
  <si>
    <t>2784-9</t>
  </si>
  <si>
    <t>Wuknu sam/a 1, zešiwk k samowuknjenju</t>
  </si>
  <si>
    <t>1/173/23-1A</t>
  </si>
  <si>
    <t>2801-3</t>
  </si>
  <si>
    <t>1/174/24-1A</t>
  </si>
  <si>
    <t>2817-4</t>
  </si>
  <si>
    <t>2. lětnik / Klasse</t>
  </si>
  <si>
    <t>2/121/23-1A*</t>
  </si>
  <si>
    <t>2777-1</t>
  </si>
  <si>
    <t>Naša maćeršćina 2, wučbnica</t>
  </si>
  <si>
    <t>2/122/23-1A</t>
  </si>
  <si>
    <t>2788-7</t>
  </si>
  <si>
    <t>Zwučujemy a pisamy 2, dźěłowy zešiwk k 
Naša maćeršćina 2</t>
  </si>
  <si>
    <t>2/82/22-3A*</t>
  </si>
  <si>
    <t>1346-0</t>
  </si>
  <si>
    <t xml:space="preserve">Čitanka 2
</t>
  </si>
  <si>
    <t>2/126/23-1A</t>
  </si>
  <si>
    <t>2778-8</t>
  </si>
  <si>
    <t>2/127/24-1A</t>
  </si>
  <si>
    <t>2789-4</t>
  </si>
  <si>
    <t>2/75/07-2B*</t>
  </si>
  <si>
    <t>1302-6</t>
  </si>
  <si>
    <t>Moja serbšćina 2, wučbnica za 2plus šulerjow</t>
  </si>
  <si>
    <t>2/79/15-3B</t>
  </si>
  <si>
    <t>1307-1</t>
  </si>
  <si>
    <t>Pisam serbsce 2, dźěłowy zešiwk k 
Moja serbšćina 2</t>
  </si>
  <si>
    <t>2/115/19-1B*</t>
  </si>
  <si>
    <t>2581-4</t>
  </si>
  <si>
    <t>Serbšćina 2, wučbnica za 2plus šulerjow</t>
  </si>
  <si>
    <t>2/108/19-2B</t>
  </si>
  <si>
    <t>2400-8</t>
  </si>
  <si>
    <t>Serbšćina 2, dźěłowy zešiwk za 2plus šulerjow</t>
  </si>
  <si>
    <t>2/116/23-2B</t>
  </si>
  <si>
    <t>2620-0</t>
  </si>
  <si>
    <t>Serbšćina 2, zwučowanski zešiwk za 2plus šulerjow</t>
  </si>
  <si>
    <t>2/98/16-2B</t>
  </si>
  <si>
    <t>1490-0</t>
  </si>
  <si>
    <t>Wuknjemy serbsce 2 - wobrazowe karty za šulerja</t>
  </si>
  <si>
    <t>2/90/23-3A</t>
  </si>
  <si>
    <t>1428-3</t>
  </si>
  <si>
    <t>Wopisowanje činitosćow, dźěłowy zešiwk</t>
  </si>
  <si>
    <t>2/99/15-1A</t>
  </si>
  <si>
    <t>1506-8</t>
  </si>
  <si>
    <r>
      <t>Rapak Rufus w zwěrjencu, čitanski a dźěłowy zešiwk,</t>
    </r>
    <r>
      <rPr>
        <b/>
        <sz val="11"/>
        <rFont val="Times New Roman"/>
        <family val="1"/>
      </rPr>
      <t xml:space="preserve"> </t>
    </r>
    <r>
      <rPr>
        <sz val="11"/>
        <rFont val="Times New Roman"/>
        <family val="1"/>
      </rPr>
      <t>3. čitanski schodźenk</t>
    </r>
  </si>
  <si>
    <t>2/100/15-1A</t>
  </si>
  <si>
    <t>1507-5</t>
  </si>
  <si>
    <t>Rapak Rufus w dowolu, čitanski a dźěłowy zešiwk, 3. čitanski schodźenk</t>
  </si>
  <si>
    <t>2/102/15-1A</t>
  </si>
  <si>
    <t>2358-2</t>
  </si>
  <si>
    <t>Piknik při morju, čitanski a dźěłowy zešiwk, 
3. čitanski schodźenk</t>
  </si>
  <si>
    <t>2/103/16-1A</t>
  </si>
  <si>
    <t>2392-6</t>
  </si>
  <si>
    <t>Rufus je zalubowany, čitanski a dźěłowy zešiwk, 3. čitanski schodźenk</t>
  </si>
  <si>
    <t>2/104/16-1A</t>
  </si>
  <si>
    <t>2393-3</t>
  </si>
  <si>
    <t>Rufus pječe rapače poprjancy, čitanski a dźěłowy zešiwk, 3. čitanski schodźenk</t>
  </si>
  <si>
    <t>2/105/16-1A</t>
  </si>
  <si>
    <t>2394-0</t>
  </si>
  <si>
    <t>Rufus a paduch, čitanski a dźěłowy zešiwk, 
2. čitanski schodźenk</t>
  </si>
  <si>
    <t>2/109/17-1A</t>
  </si>
  <si>
    <t>2408-4</t>
  </si>
  <si>
    <t>Potajni detektiwojo, čitanski a dźěłowy zešiwk, 2. čitanski schodźenk</t>
  </si>
  <si>
    <t>2/110/17-1A</t>
  </si>
  <si>
    <t>2409-1</t>
  </si>
  <si>
    <t>Rozhorjenje w stanje, čitanski a dźěłowy zešiwk, 2. čitanski schodźenk</t>
  </si>
  <si>
    <t>3. lětnik / Klasse</t>
  </si>
  <si>
    <t>3/107/15-2A*</t>
  </si>
  <si>
    <t>1365-1</t>
  </si>
  <si>
    <t>Čitanka 3</t>
  </si>
  <si>
    <t>3/98/07-2B*</t>
  </si>
  <si>
    <t>1292-0</t>
  </si>
  <si>
    <t xml:space="preserve">Moja serbšćina 3, wučbnica </t>
  </si>
  <si>
    <t>3/100/22-3B</t>
  </si>
  <si>
    <t>1311-8</t>
  </si>
  <si>
    <t>Pisam serbsce 3, dźěłowy zešiwk k Moja serbšćina 3</t>
  </si>
  <si>
    <t>3/120/15-1B</t>
  </si>
  <si>
    <t>2353-7</t>
  </si>
  <si>
    <t>Wuknjemy serbsce 3 - wobrazowe karty za šulerja</t>
  </si>
  <si>
    <t>3/115/16-2A</t>
  </si>
  <si>
    <t>1470-2</t>
  </si>
  <si>
    <t>Wopisowanje předmjetow, dźěłowy zešiwk</t>
  </si>
  <si>
    <t>3/122/17-1B*</t>
  </si>
  <si>
    <t>2452-7</t>
  </si>
  <si>
    <t>Serbšćina 3, wučbnica za 2plus šulerjow</t>
  </si>
  <si>
    <t>3/134/23-2B</t>
  </si>
  <si>
    <t>2630-9</t>
  </si>
  <si>
    <t>Serbšćina 3, dźěłowy zešiwk z CD</t>
  </si>
  <si>
    <t>4. lětnik / Klasse</t>
  </si>
  <si>
    <t>4/76/21-2A*</t>
  </si>
  <si>
    <t>1356-9</t>
  </si>
  <si>
    <t>Naša maćeršćina 4, wučbnica</t>
  </si>
  <si>
    <t>1366-8</t>
  </si>
  <si>
    <t>Zwučujemy a pisamy 4, dźěłowy zešiwk k
Naša maćeršćina 4</t>
  </si>
  <si>
    <t>4/83/18-2A*</t>
  </si>
  <si>
    <t>1382-8</t>
  </si>
  <si>
    <t>Čitanka 4</t>
  </si>
  <si>
    <t>4/71/07-1B*</t>
  </si>
  <si>
    <t>1337-8</t>
  </si>
  <si>
    <t>Moja serbšćina 4, wučbnica</t>
  </si>
  <si>
    <t>4/78/14-2B</t>
  </si>
  <si>
    <t>1367-5</t>
  </si>
  <si>
    <t>Pisam serbsce 4, dźěłowy zešiwk k 
Moja serbšćina 4</t>
  </si>
  <si>
    <t>4/94/16-1B</t>
  </si>
  <si>
    <t>2398-8</t>
  </si>
  <si>
    <t>Wuknjemy serbsce 4 - wobrazowe karty za šulerja</t>
  </si>
  <si>
    <t>4/97/18-1B*</t>
  </si>
  <si>
    <t>2530-2</t>
  </si>
  <si>
    <r>
      <t>Serbšćina 4, wučbnica za 2plus šulerjow</t>
    </r>
    <r>
      <rPr>
        <b/>
        <sz val="11"/>
        <rFont val="Times New Roman"/>
        <family val="1"/>
      </rPr>
      <t xml:space="preserve"> </t>
    </r>
  </si>
  <si>
    <t>4/98/21-2B</t>
  </si>
  <si>
    <t>2531-9</t>
  </si>
  <si>
    <t>Serbšćina 4, dźěłowy zešiwk z CD</t>
  </si>
  <si>
    <t>mjezysuma/Zwischensumme</t>
  </si>
  <si>
    <t xml:space="preserve">      Serbšćina (B) - cuzorěčna wučba / Fremdsprache</t>
  </si>
  <si>
    <t>1448-1</t>
  </si>
  <si>
    <t>Wuknjemy serbsce 1, dźěłowa kniha</t>
  </si>
  <si>
    <t>1/138/21-4B</t>
  </si>
  <si>
    <t>1479-5</t>
  </si>
  <si>
    <t>Wuknjemy serbsce 1, wokablowy zešiwk, dźěłowy zešiwk</t>
  </si>
  <si>
    <t>1 eksemplar na rjadownju / pro Klasse 1 Exemplar</t>
  </si>
  <si>
    <t>1/140/14-1B</t>
  </si>
  <si>
    <t>1488-7</t>
  </si>
  <si>
    <t xml:space="preserve">Wuknjemy serbsce 1 - hrajne plany
</t>
  </si>
  <si>
    <t xml:space="preserve">2. lětnik / Klasse </t>
  </si>
  <si>
    <t>1477-1</t>
  </si>
  <si>
    <t>Wuknjemy serbsce 2, dźěłowa kniha</t>
  </si>
  <si>
    <t>2/96/22-3B</t>
  </si>
  <si>
    <t>1478-8</t>
  </si>
  <si>
    <t>Wuknjemy serbsce 2 - portfolijowy zešiwk, dźěłowy zešiwk</t>
  </si>
  <si>
    <t>2717-7</t>
  </si>
  <si>
    <t>Wuknjemy serbsce, 1. dźěl, dźěłowy zešiwk k słowničkej</t>
  </si>
  <si>
    <t>2/101/15-1B</t>
  </si>
  <si>
    <t>2352-0</t>
  </si>
  <si>
    <r>
      <t xml:space="preserve">Wuknjemy serbsce 2 - hrajne plany
</t>
    </r>
    <r>
      <rPr>
        <b/>
        <sz val="11"/>
        <rFont val="Times New Roman"/>
        <family val="1"/>
      </rPr>
      <t xml:space="preserve">
</t>
    </r>
  </si>
  <si>
    <t>3/117/21-2B*</t>
  </si>
  <si>
    <t>1491-7</t>
  </si>
  <si>
    <t xml:space="preserve">Wuknjemy serbsce 3, wučbnica </t>
  </si>
  <si>
    <t>3/118/23-3B</t>
  </si>
  <si>
    <t>1494-8</t>
  </si>
  <si>
    <t>Wuknjemy serbsce 3, dźěłowy zešiwk z CD</t>
  </si>
  <si>
    <t>4/105/23-1B</t>
  </si>
  <si>
    <t>2783-2</t>
  </si>
  <si>
    <t>Wuknjemy serbsce, 2. dźěl, dźěłowy zešiwk k słowničkej</t>
  </si>
  <si>
    <t>4/91/21-2B*</t>
  </si>
  <si>
    <t>2355-1</t>
  </si>
  <si>
    <t>Wuknjemy serbsce 4, wučbnica</t>
  </si>
  <si>
    <t>4/92/23-3B</t>
  </si>
  <si>
    <t>2356-8</t>
  </si>
  <si>
    <t>Wuknjemy serbsce 4, dźěłowy zešiwk z CD</t>
  </si>
  <si>
    <t>Wuknjemy serbsce 4, wobrazowe karty za šulerja</t>
  </si>
  <si>
    <t xml:space="preserve">      Spěchowanska wučba serbšćina a LRS / Förderunterricht</t>
  </si>
  <si>
    <t>0/117/06-2</t>
  </si>
  <si>
    <t>1291-3</t>
  </si>
  <si>
    <t>Zwučuj sobu 1!, dźěłowy zešiwk, 3. lětnik</t>
  </si>
  <si>
    <t>0/118/08-2</t>
  </si>
  <si>
    <t>1296-8</t>
  </si>
  <si>
    <t>Zwučuj sobu 2!, dźěłowy zešiwk, 4. lětnik</t>
  </si>
  <si>
    <t>0/148/16-2A</t>
  </si>
  <si>
    <t>1453-5</t>
  </si>
  <si>
    <t>Zwučuj sobu - LRS předtest</t>
  </si>
  <si>
    <t>Hudźba / Musik</t>
  </si>
  <si>
    <t>1./2. lětnik / Klasse</t>
  </si>
  <si>
    <t>1/74/98-2A*</t>
  </si>
  <si>
    <t>0974-6</t>
  </si>
  <si>
    <t>Što radosć rjeńšu dawa, spěwnik
 (1. do 4. lětnik)</t>
  </si>
  <si>
    <t>1/117/15-2A*</t>
  </si>
  <si>
    <t>1301-9</t>
  </si>
  <si>
    <t>Wjeseli hercy 1/2, wučbnica</t>
  </si>
  <si>
    <t>0/139/11-1A</t>
  </si>
  <si>
    <t>1432-0</t>
  </si>
  <si>
    <t xml:space="preserve">Rejuj z nami, poster za předmjet hudźba, licenca nakładnistwa Cornelsen
</t>
  </si>
  <si>
    <t>3./4. lětnik / Klasse</t>
  </si>
  <si>
    <t>Što radosć rjeńšu dawa, spěwnik 
(1. do 4. lětnik)</t>
  </si>
  <si>
    <t>3/91/18-2A*</t>
  </si>
  <si>
    <t>1218-0</t>
  </si>
  <si>
    <t>Wjeseli hercy 3/4, wučbnica</t>
  </si>
  <si>
    <r>
      <t>Rejuj z nami, poster za předmjet hudźba, licenca nakładnistwa Cornelsen</t>
    </r>
    <r>
      <rPr>
        <i/>
        <sz val="11"/>
        <rFont val="Times New Roman"/>
        <family val="1"/>
      </rPr>
      <t xml:space="preserve"> 
</t>
    </r>
  </si>
  <si>
    <t>Dodatne a wučbu wudospołnjace materialije /</t>
  </si>
  <si>
    <t>Unterricht ergänzende Materialien</t>
  </si>
  <si>
    <t>0/70/97</t>
  </si>
  <si>
    <t>1114-5</t>
  </si>
  <si>
    <t>Jan, Minka a Bobik na prózdninach</t>
  </si>
  <si>
    <t>0/112/03-1B</t>
  </si>
  <si>
    <t>1266-1</t>
  </si>
  <si>
    <t xml:space="preserve">Wjesele wuknjemy 1, mapa k logico-kašćikej 
1. a 2. lětnik </t>
  </si>
  <si>
    <t>0/113/03-1B</t>
  </si>
  <si>
    <t>1267-8</t>
  </si>
  <si>
    <t>Wjesele wuknjemy 2, mapa k logico-kašćikej, 
1. a 2. lětnik</t>
  </si>
  <si>
    <t>0/114/04-1B</t>
  </si>
  <si>
    <t>1281-4</t>
  </si>
  <si>
    <t xml:space="preserve">Wjesele wuknjemy 3, mapa k logico-kašćikej, 
1 a 2. lětnik </t>
  </si>
  <si>
    <t>0/133/10-1</t>
  </si>
  <si>
    <t>1419-1</t>
  </si>
  <si>
    <t>Domino ze słowami, dodatny material za serbšćinu</t>
  </si>
  <si>
    <t>0/137/17-2A</t>
  </si>
  <si>
    <t>1430-6</t>
  </si>
  <si>
    <t xml:space="preserve">Zwěrjata w zymje, dźěłarnička za předmjety serbšćina a wěcna wučba </t>
  </si>
  <si>
    <t>1444-3</t>
  </si>
  <si>
    <t>Pismikowy mandala, dźěłowy zešiwk za serbšćinu</t>
  </si>
  <si>
    <t>0/156/24-3A</t>
  </si>
  <si>
    <t>1474-0</t>
  </si>
  <si>
    <t>Zaječk Hopl a jeho přećeljo, dodatny čitanski material z dźěłowymi łopjenami</t>
  </si>
  <si>
    <t>0/162/15-1B</t>
  </si>
  <si>
    <t>1502-0</t>
  </si>
  <si>
    <t>Čitaj z nami 1, čitanska brošura za 2plus-šulerjow</t>
  </si>
  <si>
    <t>0/163/16-1B</t>
  </si>
  <si>
    <t>2379-7</t>
  </si>
  <si>
    <t>Čitaj z nami 2, čitanska brošura</t>
  </si>
  <si>
    <t>0/193/24-2A</t>
  </si>
  <si>
    <t>2681-1</t>
  </si>
  <si>
    <t>0/194/21-1A</t>
  </si>
  <si>
    <t>2701-6</t>
  </si>
  <si>
    <t>Feliks a Florian, comic, Płomjoedicija</t>
  </si>
  <si>
    <t>0/199/23-1A</t>
  </si>
  <si>
    <t>2786-3</t>
  </si>
  <si>
    <t>Maks a Ambrož, Płomjoedicija</t>
  </si>
  <si>
    <t>0/203/23-1A</t>
  </si>
  <si>
    <t>2814-3</t>
  </si>
  <si>
    <t>0/205/24-1A</t>
  </si>
  <si>
    <t>2824-2</t>
  </si>
  <si>
    <t>1/75/08-3A</t>
  </si>
  <si>
    <t>0989-3</t>
  </si>
  <si>
    <t>Złóžkowe kartki, 1. a 2. lětnik</t>
  </si>
  <si>
    <t>1/88/10-2B</t>
  </si>
  <si>
    <t>1181-7</t>
  </si>
  <si>
    <t>Słuchaj, čitaj, powědaj!</t>
  </si>
  <si>
    <t>1/165/21-1A</t>
  </si>
  <si>
    <t>2677-4</t>
  </si>
  <si>
    <t>Nazwukowa tabulka, plakat A1</t>
  </si>
  <si>
    <t>rjadowniska sadźba na šulu / Klassensatz pro Schule
(ličbu šulerjow zapisać)</t>
  </si>
  <si>
    <t>0/153/24-2A</t>
  </si>
  <si>
    <t>2526-5</t>
  </si>
  <si>
    <t>0/189/21-1A</t>
  </si>
  <si>
    <t>2680-4</t>
  </si>
  <si>
    <t>Čerwjenawka a druhe bajki, bajkowa kniha</t>
  </si>
  <si>
    <t>2/87/10-1A</t>
  </si>
  <si>
    <t>1394-1</t>
  </si>
  <si>
    <r>
      <t>Hry z alfabetom, wuknjenska CD za serbšćinu, interaktiwne hry</t>
    </r>
    <r>
      <rPr>
        <i/>
        <sz val="11"/>
        <rFont val="Times New Roman"/>
        <family val="1"/>
      </rPr>
      <t xml:space="preserve"> 
</t>
    </r>
  </si>
  <si>
    <t>0/106/08-2B</t>
  </si>
  <si>
    <t>1260-9</t>
  </si>
  <si>
    <t xml:space="preserve">Serbske nałožki a wašnja, mapa 
</t>
  </si>
  <si>
    <t>0/132/15-2A</t>
  </si>
  <si>
    <t>1417-7</t>
  </si>
  <si>
    <t xml:space="preserve">Skrućuj serbski alfabet, zwučowanja k skrućenju alfabeta </t>
  </si>
  <si>
    <t>0/157/14-1B</t>
  </si>
  <si>
    <t>1482-5</t>
  </si>
  <si>
    <t>Serbsce lochko, Obersorbisch leicht, awdio CD za serbsce wuknjacych</t>
  </si>
  <si>
    <t>0/172/16-1B</t>
  </si>
  <si>
    <t>2399-5</t>
  </si>
  <si>
    <t>Serbsce lochko 2, Obersorbisch leicht, awdio CD za serbsce wuknjacych</t>
  </si>
  <si>
    <t>0/167/16-1A</t>
  </si>
  <si>
    <t>—</t>
  </si>
  <si>
    <r>
      <t xml:space="preserve">Pismikowa keklija </t>
    </r>
    <r>
      <rPr>
        <b/>
        <sz val="11"/>
        <rFont val="Times New Roman"/>
        <family val="1"/>
      </rPr>
      <t xml:space="preserve">
</t>
    </r>
  </si>
  <si>
    <t>0/169/24-2A</t>
  </si>
  <si>
    <t>2384-1</t>
  </si>
  <si>
    <r>
      <t>Naš časnik, plakat w A1 formaće, za wučbu w matematice, serbšćinje a wěcnej wědźe</t>
    </r>
    <r>
      <rPr>
        <b/>
        <sz val="11"/>
        <rFont val="Times New Roman"/>
        <family val="1"/>
      </rPr>
      <t xml:space="preserve">
</t>
    </r>
  </si>
  <si>
    <t>0/180/21-2A</t>
  </si>
  <si>
    <t>2527-2</t>
  </si>
  <si>
    <t>Naš časnik, 2. dźěl, plakat w A1 formaće, za wučbu w matematice, serbšćinje a wěcnej wědźe</t>
  </si>
  <si>
    <t>0/198/23-1A</t>
  </si>
  <si>
    <t>2785-6</t>
  </si>
  <si>
    <t>Naš časnik, 3. dźěl, plakat w A1 formaće, za wučbu w matematice, serbšćinje a wěcnej wědźe</t>
  </si>
  <si>
    <t>0/192/21-1A</t>
  </si>
  <si>
    <t>2693-4</t>
  </si>
  <si>
    <t>Čerwjenawka a druhe bajki, słuchokniha</t>
  </si>
  <si>
    <t>1/150/17-1A</t>
  </si>
  <si>
    <t>2455-8</t>
  </si>
  <si>
    <t xml:space="preserve">Ličbowe woknješka za 1. lětnik </t>
  </si>
  <si>
    <t>0/197/22-1A</t>
  </si>
  <si>
    <t>2730-6</t>
  </si>
  <si>
    <t>1/168/21-1A</t>
  </si>
  <si>
    <t>2675-0</t>
  </si>
  <si>
    <t>Pismikowe woknješka</t>
  </si>
  <si>
    <t>Terminologije a słowniki / 
Terminologien und Wörterbücher</t>
  </si>
  <si>
    <t>0/170/16-1A</t>
  </si>
  <si>
    <t>2385-8</t>
  </si>
  <si>
    <t>Terminologija za předmjet ručne dźěło</t>
  </si>
  <si>
    <t>0/122/08-1A</t>
  </si>
  <si>
    <t>1359-0</t>
  </si>
  <si>
    <t>Terminologija za matematiku</t>
  </si>
  <si>
    <t>0/123/08-1A</t>
  </si>
  <si>
    <t>1360-2</t>
  </si>
  <si>
    <t>Terminologija za wěcnu wučbu</t>
  </si>
  <si>
    <t>0/135/11-1A</t>
  </si>
  <si>
    <t>1425-2</t>
  </si>
  <si>
    <t>Terminologija za předmjet hudźba</t>
  </si>
  <si>
    <t>0/143/11-1A</t>
  </si>
  <si>
    <t>1435-1</t>
  </si>
  <si>
    <t>Terminologija za předmjet nabožina</t>
  </si>
  <si>
    <t>0/124/23-5B</t>
  </si>
  <si>
    <t>1358-3</t>
  </si>
  <si>
    <t>Słowničk - Wörterverzeichnis, 
za cuzorěčnu wučbu</t>
  </si>
  <si>
    <t>0/126/09-1A</t>
  </si>
  <si>
    <t>1387-3</t>
  </si>
  <si>
    <t>Jendźelsko - serbski  słowničk za zakładnu šulu, licenca nakładnistwa Langenscheidt</t>
  </si>
  <si>
    <t>1198-5</t>
  </si>
  <si>
    <t>Wot A do Ž - Słowničk za zakładnu šulu, 
1. do 4. lětnik</t>
  </si>
  <si>
    <t>0/166/20-2B</t>
  </si>
  <si>
    <t>2391-9</t>
  </si>
  <si>
    <t>Wuknjemy serbsce - słowničk, za cuzorěčnu wučbu wot 1. do 4. lětnika</t>
  </si>
  <si>
    <t>0/130/10-1A</t>
  </si>
  <si>
    <t>1393-4</t>
  </si>
  <si>
    <t>Saperliška - Praj to hinak!, synonymowy słowničk za dźěći, přiručka za wurazowu wučbu</t>
  </si>
  <si>
    <t>rjadownisku sadźbu na šulu / Klassensatz pro Schule 
(ličbu šulerjow zapisać)</t>
  </si>
  <si>
    <t>1/1167/14</t>
  </si>
  <si>
    <t>1920-2</t>
  </si>
  <si>
    <r>
      <t xml:space="preserve">Runočasne wužiwanje serbskich a němskich knihow a wučbnych materialijow
</t>
    </r>
    <r>
      <rPr>
        <sz val="12"/>
        <color indexed="8"/>
        <rFont val="Times New Roman"/>
        <family val="1"/>
      </rPr>
      <t>Material za slědowace předmjety so jenož spěchuje, hdyž šula dopokaza, zo je šulski nošer za wšěch šulerjow rjadownje/skupiny němskorěčny material kupił.</t>
    </r>
    <r>
      <rPr>
        <b/>
        <sz val="12"/>
        <color indexed="8"/>
        <rFont val="Times New Roman"/>
        <family val="1"/>
      </rPr>
      <t xml:space="preserve">
Gleichzeitiger Gebrauch sorbischer und deutscher Buchtitel und Unterrichtsmaterialien
</t>
    </r>
    <r>
      <rPr>
        <sz val="12"/>
        <color indexed="8"/>
        <rFont val="Times New Roman"/>
        <family val="1"/>
      </rPr>
      <t>Das Material für folgende Unterrichtsfächer wird nur gefördert, wenn die Schule nachweist, dass der Schulträger für alle Schüler der Klasse/Gruppe deutschsprachiges Material gekauft hat.</t>
    </r>
    <r>
      <rPr>
        <b/>
        <sz val="12"/>
        <color indexed="8"/>
        <rFont val="Times New Roman"/>
        <family val="1"/>
      </rPr>
      <t xml:space="preserve">
</t>
    </r>
  </si>
  <si>
    <t>Wěcna wučba / Sachunterricht</t>
  </si>
  <si>
    <t>1495-5</t>
  </si>
  <si>
    <t>Mlóč 1, dźěłowa kniha, 
licenca nakładnistwa Schroedel</t>
  </si>
  <si>
    <t>2/124/22-1A*</t>
  </si>
  <si>
    <t>2732-0</t>
  </si>
  <si>
    <t>Mlóč 2, wučbnica,
licenca nakładnistwa Schroedel</t>
  </si>
  <si>
    <t>2488-6</t>
  </si>
  <si>
    <t>Mlóč 2, dźěłowy zešiwk, 
licenca nakładnistwa Schroedel</t>
  </si>
  <si>
    <t>3/135/21-1A*</t>
  </si>
  <si>
    <t>2668-2</t>
  </si>
  <si>
    <t>Mlóč 3, wučbnica,
licenca nakładnistwa Schroedel</t>
  </si>
  <si>
    <t>2489-3</t>
  </si>
  <si>
    <r>
      <t>Mlóč 3, dźěłowy zešiwk,
licenca nakładnistwa Schroedel</t>
    </r>
    <r>
      <rPr>
        <b/>
        <sz val="11"/>
        <rFont val="Times New Roman"/>
        <family val="1"/>
      </rPr>
      <t/>
    </r>
  </si>
  <si>
    <t>3/116/13-1A</t>
  </si>
  <si>
    <t>1471-9</t>
  </si>
  <si>
    <t>Kołowokoło kolesa, dźěłarnička za wěcnu wědu a serbšćinu</t>
  </si>
  <si>
    <t>3/119/14-1A</t>
  </si>
  <si>
    <t>1492-4</t>
  </si>
  <si>
    <t>Woda - drohotny pokład, dźěłarnička za wěcnu wědu a serbšćinu</t>
  </si>
  <si>
    <t>3/124/17-1A</t>
  </si>
  <si>
    <t>2450-3</t>
  </si>
  <si>
    <t>Žiwjenski rum łuka, dźěłarnička za wěcnu wědu a serbšćinu</t>
  </si>
  <si>
    <t xml:space="preserve">4. lětnik / Klasse </t>
  </si>
  <si>
    <t>4/106/22-1A*</t>
  </si>
  <si>
    <t>2716-0</t>
  </si>
  <si>
    <r>
      <t>Mlóč 4, wučbnica, 
licenca nakładnistwa Schroedel</t>
    </r>
    <r>
      <rPr>
        <b/>
        <sz val="11"/>
        <rFont val="Times New Roman"/>
        <family val="1"/>
      </rPr>
      <t xml:space="preserve"> </t>
    </r>
  </si>
  <si>
    <t>4/103/22-2A</t>
  </si>
  <si>
    <t>2585-2</t>
  </si>
  <si>
    <t>Mlóč 4, dźěłowy zešiwk,
licenca nakładnistwa Schroedel</t>
  </si>
  <si>
    <t>Matematika / Mathematik</t>
  </si>
  <si>
    <t>1/156/19-1A*</t>
  </si>
  <si>
    <t>2549-4</t>
  </si>
  <si>
    <t>Łuskač 1, wučbnica, 
licenca nakładnistwa Klett</t>
  </si>
  <si>
    <t>1/155/22-2A</t>
  </si>
  <si>
    <t>2550-0</t>
  </si>
  <si>
    <t>Łuskač 1, dźěłowy zešiwk, 
licenca nakładnistwa Klett</t>
  </si>
  <si>
    <t>1/163/21-1A</t>
  </si>
  <si>
    <t>2673-6</t>
  </si>
  <si>
    <t xml:space="preserve">Łuskač 1-2, posterowy set, 
licenca nakładnistwa Klett
</t>
  </si>
  <si>
    <t>2/119/20-1A*</t>
  </si>
  <si>
    <t>2621-7</t>
  </si>
  <si>
    <t>Łuskač 2, wučbnica, 
licenca nakładnistwa Klett</t>
  </si>
  <si>
    <t>2/120/23-2A</t>
  </si>
  <si>
    <t>2622-4</t>
  </si>
  <si>
    <t>Łuskač 2, dźěłowy zešiwk, 
licenca nakładnistwa Klett</t>
  </si>
  <si>
    <t>3/132/20-1A*</t>
  </si>
  <si>
    <t>2623-1</t>
  </si>
  <si>
    <t>Łuskač 3, wučbnica, 
licenca nakładnistwa Klett</t>
  </si>
  <si>
    <t>3/133/23-2A</t>
  </si>
  <si>
    <t>2624-8</t>
  </si>
  <si>
    <t>Łuskač 3, dźěłowy zešiwk, 
licenca nakładnistwa Klett</t>
  </si>
  <si>
    <t>3/129/22-2A</t>
  </si>
  <si>
    <t>2529-6</t>
  </si>
  <si>
    <t>Ličimy wěcne nadawki 3, dźěłowy zešiwk, licenca nakładnistwa Klett</t>
  </si>
  <si>
    <t>3/130/22-2A</t>
  </si>
  <si>
    <t>2569-2</t>
  </si>
  <si>
    <t>Geometrija 3, dźěłowy zešiwk, 
licenca nakładnistwa Klett</t>
  </si>
  <si>
    <t>4. lětnik / Kasse</t>
  </si>
  <si>
    <t>4/101/19-1A*</t>
  </si>
  <si>
    <t>2551-7</t>
  </si>
  <si>
    <t>Łuskač 4, wučbnica, 
licenca nakładnistwa Klett</t>
  </si>
  <si>
    <t>2552-4</t>
  </si>
  <si>
    <t>Łuskač 4, dźěłowy zešiwk, 
licenca nakładnistwa Klett</t>
  </si>
  <si>
    <t>4/99/22-2A</t>
  </si>
  <si>
    <t>2532-6</t>
  </si>
  <si>
    <t>Ličimy wěcne nadawki 4, dźěłowy zešiwk, licenca nakładnistwa Klett</t>
  </si>
  <si>
    <t>4/100/22-2A</t>
  </si>
  <si>
    <t>2571-5</t>
  </si>
  <si>
    <t>Geometrija 4, dźěłowy zešiwk, 
licenca nakładnistwa Klett</t>
  </si>
  <si>
    <t>Nabožina / Religion</t>
  </si>
  <si>
    <t>1/121/08-1A*</t>
  </si>
  <si>
    <t>1363-7</t>
  </si>
  <si>
    <r>
      <t xml:space="preserve">Ja tu sym 1, wučbnica, 
licenca nakładnistwa Auer
</t>
    </r>
    <r>
      <rPr>
        <b/>
        <sz val="11"/>
        <rFont val="Times New Roman"/>
        <family val="1"/>
      </rPr>
      <t>wobmjezowany wobstatk</t>
    </r>
  </si>
  <si>
    <t>2/84/08-1A*</t>
  </si>
  <si>
    <t>1373-6</t>
  </si>
  <si>
    <r>
      <t xml:space="preserve">Ja tu sym 2, wučbnica, </t>
    </r>
    <r>
      <rPr>
        <b/>
        <sz val="11"/>
        <rFont val="Times New Roman"/>
        <family val="1"/>
      </rPr>
      <t xml:space="preserve"> 
</t>
    </r>
    <r>
      <rPr>
        <sz val="11"/>
        <rFont val="Times New Roman"/>
        <family val="1"/>
      </rPr>
      <t xml:space="preserve">licenca nakładnistwa Auer
</t>
    </r>
    <r>
      <rPr>
        <b/>
        <sz val="11"/>
        <rFont val="Times New Roman"/>
        <family val="1"/>
      </rPr>
      <t>wobmjezowany wobstatk</t>
    </r>
  </si>
  <si>
    <t>3/109/09-1A*</t>
  </si>
  <si>
    <t>1381-1</t>
  </si>
  <si>
    <r>
      <t xml:space="preserve">Ja tu sym 3, wučbnica, </t>
    </r>
    <r>
      <rPr>
        <b/>
        <sz val="11"/>
        <rFont val="Times New Roman"/>
        <family val="1"/>
      </rPr>
      <t xml:space="preserve">
</t>
    </r>
    <r>
      <rPr>
        <sz val="11"/>
        <rFont val="Times New Roman"/>
        <family val="1"/>
      </rPr>
      <t xml:space="preserve">licenca nakładnistwa Auer
</t>
    </r>
    <r>
      <rPr>
        <b/>
        <sz val="11"/>
        <rFont val="Times New Roman"/>
        <family val="1"/>
      </rPr>
      <t>wobmjezowany wobstatk</t>
    </r>
  </si>
  <si>
    <t>4/85/10-1A*</t>
  </si>
  <si>
    <t>1390-3</t>
  </si>
  <si>
    <r>
      <t xml:space="preserve">Ja tu sym 4, wučbnica, </t>
    </r>
    <r>
      <rPr>
        <b/>
        <sz val="11"/>
        <rFont val="Times New Roman"/>
        <family val="1"/>
      </rPr>
      <t xml:space="preserve">
</t>
    </r>
    <r>
      <rPr>
        <sz val="11"/>
        <rFont val="Times New Roman"/>
        <family val="1"/>
      </rPr>
      <t xml:space="preserve">licenca nakładnistwa Auer
</t>
    </r>
    <r>
      <rPr>
        <b/>
        <sz val="11"/>
        <rFont val="Times New Roman"/>
        <family val="1"/>
      </rPr>
      <t>wobmjezowany wobstatk</t>
    </r>
  </si>
  <si>
    <t>* smě so kóžde 5 lěta znowa skazać</t>
  </si>
  <si>
    <r>
      <t xml:space="preserve">Dodatna literatura / Zusatzliteratur 
</t>
    </r>
    <r>
      <rPr>
        <b/>
        <sz val="14"/>
        <color indexed="10"/>
        <rFont val="Times New Roman"/>
        <family val="1"/>
      </rPr>
      <t xml:space="preserve"> </t>
    </r>
    <r>
      <rPr>
        <b/>
        <sz val="14"/>
        <rFont val="Times New Roman"/>
        <family val="1"/>
      </rPr>
      <t xml:space="preserve">
</t>
    </r>
  </si>
  <si>
    <t>cyłkowna suma/Gesamtsumme</t>
  </si>
  <si>
    <t>Prošu skazansku lisćinu wupjelnić a podpisać.</t>
  </si>
  <si>
    <t>Próstwu wo spěchowanje wot šulskeho nošerja wupjelnić a podpisać.</t>
  </si>
  <si>
    <t>Podłožki jenož hromadźe pósłać na:</t>
  </si>
  <si>
    <t>Bitte Bestellliste ausfüllen und unterzeichnen.</t>
  </si>
  <si>
    <t xml:space="preserve">Den Antrag auf Gewährung einer Zuwendung vom Schulträger </t>
  </si>
  <si>
    <t>ausfüllen und unterzeichnen.</t>
  </si>
  <si>
    <t>Beide Unterlagen schicken Sie zusammen an:</t>
  </si>
  <si>
    <t xml:space="preserve">přisłušna wosoba / Ansprechpartnerin: </t>
  </si>
  <si>
    <t>Diana Weclichowa / Diana Wetzlich, Tel.: 03591 / 550323</t>
  </si>
  <si>
    <t>podpismo šulskeje(-eho) wjednicy(-ka) a kołk</t>
  </si>
  <si>
    <t>kołk nošerja šule a podpismo</t>
  </si>
  <si>
    <t>Unterschrift der Schulleiterin/des Schulleiters und Stempel</t>
  </si>
  <si>
    <t xml:space="preserve">Stempel des Schulträgers </t>
  </si>
  <si>
    <t>Nabožina / Religionsunterricht</t>
  </si>
  <si>
    <t xml:space="preserve"> 1/121/08-1A</t>
  </si>
  <si>
    <r>
      <t xml:space="preserve">Ja tu sym 1, wučbnica, </t>
    </r>
    <r>
      <rPr>
        <b/>
        <sz val="10"/>
        <rFont val="Times New Roman"/>
        <family val="1"/>
      </rPr>
      <t>nowowudaće</t>
    </r>
  </si>
  <si>
    <t xml:space="preserve"> 2/84/08-1A</t>
  </si>
  <si>
    <r>
      <t xml:space="preserve">Ja tu sym 2, wučbnica, </t>
    </r>
    <r>
      <rPr>
        <b/>
        <sz val="10"/>
        <rFont val="Times New Roman"/>
        <family val="1"/>
      </rPr>
      <t>nowowudaće</t>
    </r>
  </si>
  <si>
    <t xml:space="preserve"> 3/109/09-1A</t>
  </si>
  <si>
    <r>
      <t xml:space="preserve">Ja tu sym 3, wučbnica, </t>
    </r>
    <r>
      <rPr>
        <b/>
        <sz val="10"/>
        <rFont val="Times New Roman"/>
        <family val="1"/>
      </rPr>
      <t>nowowudaće</t>
    </r>
  </si>
  <si>
    <t xml:space="preserve">Rjad so w přichodnych lětach wudospołni.
</t>
  </si>
  <si>
    <t>Reihe wird in den nächsten Jahren vervollständigt.</t>
  </si>
  <si>
    <t>Kompatibilitätsbericht für 2017_kat-3-zakladna.xls</t>
  </si>
  <si>
    <t>Ausführen auf 23.01.2017 11:25</t>
  </si>
  <si>
    <t>Die folgenden Features in dieser Arbeitsmappe werden von früheren Excel-Versionen nicht unterstützt. Diese Features gehen beim Öffnen dieser Arbeitsmappe in einer früheren Excel-Version oder beim Speichern in einem früheren Dateiformat möglicherweise verloren oder werden beschädigt.</t>
  </si>
  <si>
    <t>Geringer Genauigkeitsverlust</t>
  </si>
  <si>
    <t>Version</t>
  </si>
  <si>
    <t>Einige Zellen oder Formatvorlagen in dieser Arbeitsmappe enthalten eine Formatierung, die vom ausgewählten Dateiformat nicht unterstützt wird. Diese Formate werden in das ähnlichste verfügbare Format konvertiert.</t>
  </si>
  <si>
    <t>Excel 97-2003</t>
  </si>
  <si>
    <t>0/206/24-1B</t>
  </si>
  <si>
    <r>
      <t xml:space="preserve">Wuknjemy serbsce , wuknjenske hry,
</t>
    </r>
    <r>
      <rPr>
        <b/>
        <i/>
        <sz val="11"/>
        <rFont val="Times New Roman"/>
        <family val="1"/>
      </rPr>
      <t xml:space="preserve"> online, jónkrótna licenca / Einmallizenz</t>
    </r>
  </si>
  <si>
    <t>Čitanska křinja - Čitanje pućujo po šćežkach wotkrywać
dźěłowa kniha</t>
  </si>
  <si>
    <t>2833-4</t>
  </si>
  <si>
    <t>Ptački našeje domizny, dźěłarnička za předmjetaj serbšćina a wěcna wučba za wužiwanje BOOKii-pisaka</t>
  </si>
  <si>
    <t>Swět wokoło nas, wobrazowy słownik
za BOOKii-pisak</t>
  </si>
  <si>
    <t>Ptači časnik, plakat A1, za wužiwanje 
BOOKii-pisaka</t>
  </si>
  <si>
    <t xml:space="preserve">4/102/24-2A
</t>
  </si>
  <si>
    <t>0/204/24-1A</t>
  </si>
  <si>
    <t>2825-9</t>
  </si>
  <si>
    <r>
      <t xml:space="preserve">Po strašnych pućach/Schowana hwězda, Płomjoedicija, </t>
    </r>
    <r>
      <rPr>
        <b/>
        <sz val="11"/>
        <rFont val="Times New Roman"/>
        <family val="1"/>
      </rPr>
      <t>nowowudaće</t>
    </r>
  </si>
  <si>
    <t>Skazanska lisćina - Bestellliste 2025/2026</t>
  </si>
  <si>
    <t>1/161/25-2A</t>
  </si>
  <si>
    <t>1/144/25-4B</t>
  </si>
  <si>
    <t>1/169/25-2A</t>
  </si>
  <si>
    <t>Nazwukowa tabulka, k naša fibla, 
za BOOKii-pisak</t>
  </si>
  <si>
    <t>Wuknu sam/a 2, zešiwk k samowuknjenju</t>
  </si>
  <si>
    <t>Čitanska křinja - Što tam šćowka, mjawči, piwči?, dźěłowa kniha</t>
  </si>
  <si>
    <t>2/129/24-1A</t>
  </si>
  <si>
    <t>2822-8</t>
  </si>
  <si>
    <t>2/130/25-1A</t>
  </si>
  <si>
    <t>2862-4</t>
  </si>
  <si>
    <r>
      <t xml:space="preserve">Čitanska křinja - Naši kuzłarjo rěče, </t>
    </r>
    <r>
      <rPr>
        <b/>
        <sz val="11"/>
        <rFont val="Times New Roman"/>
        <family val="1"/>
      </rPr>
      <t>nowowudaće</t>
    </r>
  </si>
  <si>
    <r>
      <t xml:space="preserve">Čitanska křinja - Ja, ty, my - na so dźiwajmy, dźěłowa kniha, </t>
    </r>
    <r>
      <rPr>
        <b/>
        <sz val="11"/>
        <rFont val="Times New Roman"/>
        <family val="1"/>
      </rPr>
      <t>nowowudaće</t>
    </r>
  </si>
  <si>
    <t>3/138/25-1A*</t>
  </si>
  <si>
    <t>2855-6</t>
  </si>
  <si>
    <r>
      <t>Naša maćeršćina 3, wučbnica,</t>
    </r>
    <r>
      <rPr>
        <b/>
        <sz val="11"/>
        <rFont val="Times New Roman"/>
        <family val="1"/>
      </rPr>
      <t xml:space="preserve"> nowowudaće</t>
    </r>
  </si>
  <si>
    <t>3/139/25-1A</t>
  </si>
  <si>
    <t>2866-2</t>
  </si>
  <si>
    <r>
      <t xml:space="preserve">Zwučujemy a pisamy 3, dźěłowy zešiwk k
Naša maćeršćina 3, </t>
    </r>
    <r>
      <rPr>
        <b/>
        <sz val="11"/>
        <rFont val="Times New Roman"/>
        <family val="1"/>
      </rPr>
      <t>nowowudaće</t>
    </r>
    <r>
      <rPr>
        <sz val="11"/>
        <rFont val="Times New Roman"/>
        <family val="1"/>
      </rPr>
      <t xml:space="preserve"> 
</t>
    </r>
    <r>
      <rPr>
        <b/>
        <i/>
        <sz val="11"/>
        <rFont val="Times New Roman"/>
        <family val="1"/>
      </rPr>
      <t>(wuńdźe w 3. kwartalu)</t>
    </r>
  </si>
  <si>
    <t>2/131/25-1A</t>
  </si>
  <si>
    <r>
      <t xml:space="preserve">Dźěłarnička bajki, za BOOKii-pisak, </t>
    </r>
    <r>
      <rPr>
        <b/>
        <sz val="11"/>
        <rFont val="Times New Roman"/>
        <family val="1"/>
      </rPr>
      <t>nowowudaće</t>
    </r>
  </si>
  <si>
    <t>2826-6</t>
  </si>
  <si>
    <t>4/77/25-4A</t>
  </si>
  <si>
    <t>1/135/25-5B</t>
  </si>
  <si>
    <t>2/95/25-4B</t>
  </si>
  <si>
    <t>2/123/24-2B</t>
  </si>
  <si>
    <t>0/142/25-4A</t>
  </si>
  <si>
    <t>W dalinach swětnišća / Štom wšěch časow, Płomjoedicija</t>
  </si>
  <si>
    <t>Pismikowy memo, hra, wuknjenski material za serbšćinu</t>
  </si>
  <si>
    <t>0/210/25-1A</t>
  </si>
  <si>
    <t>2860-0</t>
  </si>
  <si>
    <r>
      <t xml:space="preserve">Čitanske hry, </t>
    </r>
    <r>
      <rPr>
        <b/>
        <sz val="11"/>
        <rFont val="Times New Roman"/>
        <family val="1"/>
      </rPr>
      <t>nowowudaće</t>
    </r>
  </si>
  <si>
    <t>3/140/25-1A</t>
  </si>
  <si>
    <t>2863-1</t>
  </si>
  <si>
    <t>3/141/25-1A</t>
  </si>
  <si>
    <t>2864-8</t>
  </si>
  <si>
    <t>3/142/25-1A</t>
  </si>
  <si>
    <t>2865-5</t>
  </si>
  <si>
    <t>1/93/25-5A</t>
  </si>
  <si>
    <t>1/143/25-3A</t>
  </si>
  <si>
    <t>2/114/24-3A</t>
  </si>
  <si>
    <t>3/126/25-3A</t>
  </si>
  <si>
    <r>
      <t>Wuknjenske karty 1, mapa k logico-kašćikej za wěcnu wědu 3. a 4. lětnika,</t>
    </r>
    <r>
      <rPr>
        <b/>
        <sz val="11"/>
        <rFont val="Times New Roman"/>
        <family val="1"/>
      </rPr>
      <t xml:space="preserve"> nowowudaće</t>
    </r>
  </si>
  <si>
    <r>
      <t>Wuknjenske karty 2, mapa k logico-kašćikej za wěcnu wědu 3. a 4. lětnika,</t>
    </r>
    <r>
      <rPr>
        <b/>
        <sz val="11"/>
        <rFont val="Times New Roman"/>
        <family val="1"/>
      </rPr>
      <t xml:space="preserve"> nowowudaće</t>
    </r>
  </si>
  <si>
    <r>
      <t>Wuknjenske karty 3, mapa k logico-kašćikej za wěcnu wědu 3. a 4. lětnika,</t>
    </r>
    <r>
      <rPr>
        <b/>
        <sz val="11"/>
        <rFont val="Times New Roman"/>
        <family val="1"/>
      </rPr>
      <t xml:space="preserve"> nowowudaće</t>
    </r>
  </si>
  <si>
    <r>
      <t xml:space="preserve">Prawopisny słownik hornjoserbšćiny (LND)
</t>
    </r>
    <r>
      <rPr>
        <b/>
        <sz val="11"/>
        <rFont val="Times New Roman"/>
        <family val="1"/>
      </rPr>
      <t>wobmjezowany wobstatk</t>
    </r>
    <r>
      <rPr>
        <sz val="11"/>
        <rFont val="Times New Roman"/>
        <family val="1"/>
      </rPr>
      <t xml:space="preserve">
</t>
    </r>
  </si>
  <si>
    <t>1/1914/22</t>
  </si>
  <si>
    <t>2752-8</t>
  </si>
  <si>
    <t>Kak su wroblik Frido a jeho přećeljo hody swjećili</t>
  </si>
  <si>
    <t>1/1815/20</t>
  </si>
  <si>
    <t>2604-4</t>
  </si>
  <si>
    <t>Kak su wroblik Frido a jeho přećeljo jutry zaječki překwapili</t>
  </si>
  <si>
    <t>1/1854/21</t>
  </si>
  <si>
    <t>2658-3</t>
  </si>
  <si>
    <t>Kak su wroblik Frido a jeho přećeljo sroki pjekli</t>
  </si>
  <si>
    <t>1/1961/24</t>
  </si>
  <si>
    <t>2829-7</t>
  </si>
  <si>
    <t>Kak su wroblik Frido a jeho přećeljo póstnicy swjećili</t>
  </si>
  <si>
    <t>1/1981/25</t>
  </si>
  <si>
    <t>2847-1</t>
  </si>
  <si>
    <t>Dožiwjenja w přirodźe (BOOKii)</t>
  </si>
  <si>
    <t>1/1960/24</t>
  </si>
  <si>
    <t>2828-0</t>
  </si>
  <si>
    <t>Narodninska torta za Findusa</t>
  </si>
  <si>
    <t>1/1956/24</t>
  </si>
  <si>
    <t>2810-5</t>
  </si>
  <si>
    <t>Hódaj a směj so 2</t>
  </si>
  <si>
    <t>978-3-98850-001-4</t>
  </si>
  <si>
    <t>Mała wjera
nakładnistwo Veles</t>
  </si>
  <si>
    <t>Załožba za serbski lud / Stiftung für das sorbische Volk
Póstowe naměsto 2 / Postplatz 2
02625 Budyšin / Bautzen</t>
  </si>
  <si>
    <t>E-mejlka / E-Mail: d.weclichowa@zalozba.de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</si>
</sst>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.00\ &quot;DM&quot;;[Red]\-#,##0.00\ &quot;DM&quot;"/>
    <numFmt numFmtId="165" formatCode="_-* #,##0.00\ &quot;DM&quot;_-;\-* #,##0.00\ &quot;DM&quot;_-;_-* &quot;-&quot;??\ &quot;DM&quot;_-;_-@_-"/>
    <numFmt numFmtId="166" formatCode="#,##0.00\ &quot;€&quot;"/>
    <numFmt numFmtId="167" formatCode="_-* #,##0.00\ [$€]_-;\-* #,##0.00\ [$€]_-;_-* &quot;-&quot;??\ [$€]_-;_-@_-"/>
  </numFmts>
  <fonts count="26">
    <font>
      <sz val="10"/>
      <name val="LausitzSansSerif"/>
    </font>
    <font>
      <b/>
      <sz val="10"/>
      <name val="LausitzSansSerif"/>
    </font>
    <font>
      <sz val="10"/>
      <name val="LausitzSansSerif"/>
    </font>
    <font>
      <sz val="9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10"/>
      <name val="Arial"/>
      <family val="2"/>
    </font>
    <font>
      <i/>
      <sz val="11"/>
      <name val="Times New Roman"/>
      <family val="1"/>
    </font>
    <font>
      <sz val="11"/>
      <name val="Cambria"/>
      <family val="1"/>
    </font>
    <font>
      <sz val="11"/>
      <name val="Calibri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4"/>
      <color indexed="10"/>
      <name val="Times New Roman"/>
      <family val="1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sz val="9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9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</borders>
  <cellStyleXfs count="9">
    <xf numFmtId="0" fontId="0" fillId="0" borderId="0"/>
    <xf numFmtId="167" fontId="2" fillId="0" borderId="0" applyFont="0" applyFill="0" applyBorder="0" applyAlignment="0" applyProtection="0"/>
    <xf numFmtId="49" fontId="2" fillId="0" borderId="0"/>
    <xf numFmtId="49" fontId="2" fillId="0" borderId="0"/>
    <xf numFmtId="0" fontId="13" fillId="0" borderId="0"/>
    <xf numFmtId="49" fontId="2" fillId="0" borderId="0"/>
    <xf numFmtId="49" fontId="2" fillId="0" borderId="0"/>
    <xf numFmtId="165" fontId="2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339">
    <xf numFmtId="0" fontId="0" fillId="0" borderId="0" xfId="0"/>
    <xf numFmtId="49" fontId="3" fillId="0" borderId="0" xfId="6" applyFont="1" applyAlignment="1">
      <alignment horizontal="right"/>
    </xf>
    <xf numFmtId="49" fontId="3" fillId="0" borderId="0" xfId="2" applyFont="1" applyAlignment="1">
      <alignment wrapText="1"/>
    </xf>
    <xf numFmtId="49" fontId="3" fillId="0" borderId="0" xfId="6" applyFont="1" applyAlignment="1">
      <alignment wrapText="1"/>
    </xf>
    <xf numFmtId="165" fontId="3" fillId="0" borderId="0" xfId="7" applyFont="1" applyBorder="1"/>
    <xf numFmtId="49" fontId="4" fillId="0" borderId="0" xfId="6" applyFont="1"/>
    <xf numFmtId="165" fontId="6" fillId="0" borderId="0" xfId="7" applyFont="1" applyBorder="1"/>
    <xf numFmtId="165" fontId="3" fillId="0" borderId="0" xfId="7" applyFont="1"/>
    <xf numFmtId="49" fontId="7" fillId="0" borderId="0" xfId="6" applyFont="1"/>
    <xf numFmtId="166" fontId="3" fillId="0" borderId="0" xfId="7" applyNumberFormat="1" applyFont="1" applyBorder="1"/>
    <xf numFmtId="13" fontId="3" fillId="0" borderId="0" xfId="7" applyNumberFormat="1" applyFont="1" applyBorder="1"/>
    <xf numFmtId="49" fontId="5" fillId="0" borderId="0" xfId="6" applyFont="1" applyAlignment="1">
      <alignment horizontal="center" wrapText="1"/>
    </xf>
    <xf numFmtId="166" fontId="3" fillId="0" borderId="0" xfId="7" applyNumberFormat="1" applyFont="1"/>
    <xf numFmtId="49" fontId="3" fillId="0" borderId="0" xfId="6" applyFont="1"/>
    <xf numFmtId="165" fontId="5" fillId="0" borderId="0" xfId="7" applyFont="1" applyBorder="1"/>
    <xf numFmtId="49" fontId="4" fillId="0" borderId="0" xfId="6" applyFont="1" applyAlignment="1">
      <alignment vertical="top" wrapText="1"/>
    </xf>
    <xf numFmtId="49" fontId="5" fillId="0" borderId="0" xfId="2" applyFont="1"/>
    <xf numFmtId="165" fontId="4" fillId="0" borderId="0" xfId="7" applyFont="1"/>
    <xf numFmtId="49" fontId="4" fillId="0" borderId="0" xfId="2" applyFont="1" applyAlignment="1">
      <alignment horizontal="right"/>
    </xf>
    <xf numFmtId="49" fontId="3" fillId="0" borderId="1" xfId="6" applyFont="1" applyBorder="1"/>
    <xf numFmtId="165" fontId="6" fillId="0" borderId="0" xfId="7" applyFont="1" applyBorder="1" applyAlignment="1">
      <alignment horizontal="left"/>
    </xf>
    <xf numFmtId="165" fontId="6" fillId="0" borderId="0" xfId="7" applyFont="1" applyBorder="1" applyAlignment="1">
      <alignment horizontal="center"/>
    </xf>
    <xf numFmtId="49" fontId="5" fillId="0" borderId="0" xfId="6" applyFont="1"/>
    <xf numFmtId="49" fontId="6" fillId="0" borderId="0" xfId="6" applyFont="1" applyAlignment="1">
      <alignment horizontal="center" wrapText="1"/>
    </xf>
    <xf numFmtId="49" fontId="3" fillId="0" borderId="1" xfId="6" applyFont="1" applyBorder="1" applyAlignment="1">
      <alignment horizontal="right"/>
    </xf>
    <xf numFmtId="13" fontId="5" fillId="0" borderId="0" xfId="7" applyNumberFormat="1" applyFont="1" applyBorder="1"/>
    <xf numFmtId="49" fontId="4" fillId="0" borderId="1" xfId="6" applyFont="1" applyBorder="1" applyAlignment="1">
      <alignment wrapText="1"/>
    </xf>
    <xf numFmtId="165" fontId="5" fillId="0" borderId="0" xfId="7" applyFont="1" applyBorder="1" applyAlignment="1">
      <alignment horizontal="left"/>
    </xf>
    <xf numFmtId="49" fontId="11" fillId="0" borderId="0" xfId="6" applyFont="1" applyAlignment="1">
      <alignment wrapText="1"/>
    </xf>
    <xf numFmtId="49" fontId="6" fillId="0" borderId="0" xfId="6" applyFont="1" applyAlignment="1">
      <alignment horizontal="left"/>
    </xf>
    <xf numFmtId="166" fontId="3" fillId="0" borderId="0" xfId="7" applyNumberFormat="1" applyFont="1" applyBorder="1" applyAlignment="1"/>
    <xf numFmtId="165" fontId="9" fillId="0" borderId="0" xfId="7" applyFont="1" applyBorder="1"/>
    <xf numFmtId="49" fontId="11" fillId="0" borderId="0" xfId="6" applyFont="1"/>
    <xf numFmtId="165" fontId="11" fillId="0" borderId="0" xfId="7" applyFont="1"/>
    <xf numFmtId="13" fontId="3" fillId="0" borderId="0" xfId="8" applyNumberFormat="1" applyFont="1" applyBorder="1"/>
    <xf numFmtId="166" fontId="3" fillId="0" borderId="0" xfId="8" applyNumberFormat="1" applyFont="1" applyBorder="1"/>
    <xf numFmtId="0" fontId="13" fillId="0" borderId="0" xfId="4"/>
    <xf numFmtId="13" fontId="4" fillId="0" borderId="1" xfId="8" applyNumberFormat="1" applyFont="1" applyBorder="1"/>
    <xf numFmtId="166" fontId="4" fillId="0" borderId="1" xfId="8" applyNumberFormat="1" applyFont="1" applyBorder="1"/>
    <xf numFmtId="44" fontId="3" fillId="0" borderId="0" xfId="8" applyFont="1"/>
    <xf numFmtId="49" fontId="12" fillId="0" borderId="0" xfId="8" applyNumberFormat="1" applyFont="1" applyBorder="1" applyAlignment="1">
      <alignment vertical="top"/>
    </xf>
    <xf numFmtId="49" fontId="3" fillId="0" borderId="0" xfId="5" applyFont="1" applyAlignment="1">
      <alignment horizontal="right" vertical="top"/>
    </xf>
    <xf numFmtId="49" fontId="8" fillId="0" borderId="2" xfId="5" applyFont="1" applyBorder="1"/>
    <xf numFmtId="49" fontId="8" fillId="0" borderId="2" xfId="5" applyFont="1" applyBorder="1" applyAlignment="1">
      <alignment wrapText="1"/>
    </xf>
    <xf numFmtId="166" fontId="12" fillId="0" borderId="0" xfId="8" applyNumberFormat="1" applyFont="1" applyBorder="1"/>
    <xf numFmtId="49" fontId="3" fillId="0" borderId="0" xfId="5" applyFont="1" applyAlignment="1">
      <alignment horizontal="right"/>
    </xf>
    <xf numFmtId="49" fontId="11" fillId="0" borderId="1" xfId="6" applyFont="1" applyBorder="1" applyAlignment="1">
      <alignment wrapText="1"/>
    </xf>
    <xf numFmtId="165" fontId="5" fillId="0" borderId="0" xfId="7" applyFont="1" applyAlignment="1">
      <alignment horizontal="right"/>
    </xf>
    <xf numFmtId="49" fontId="5" fillId="0" borderId="0" xfId="6" applyFont="1" applyAlignment="1">
      <alignment wrapText="1"/>
    </xf>
    <xf numFmtId="49" fontId="10" fillId="0" borderId="0" xfId="6" applyFont="1"/>
    <xf numFmtId="13" fontId="11" fillId="0" borderId="1" xfId="7" applyNumberFormat="1" applyFont="1" applyBorder="1" applyAlignment="1">
      <alignment vertical="top"/>
    </xf>
    <xf numFmtId="49" fontId="11" fillId="0" borderId="1" xfId="6" applyFont="1" applyBorder="1" applyAlignment="1">
      <alignment vertical="top" wrapText="1"/>
    </xf>
    <xf numFmtId="166" fontId="11" fillId="0" borderId="1" xfId="7" applyNumberFormat="1" applyFont="1" applyBorder="1" applyAlignment="1">
      <alignment vertical="top"/>
    </xf>
    <xf numFmtId="49" fontId="11" fillId="0" borderId="1" xfId="2" applyFont="1" applyBorder="1" applyAlignment="1">
      <alignment vertical="top"/>
    </xf>
    <xf numFmtId="49" fontId="11" fillId="0" borderId="1" xfId="6" applyFont="1" applyBorder="1" applyAlignment="1">
      <alignment vertical="top"/>
    </xf>
    <xf numFmtId="13" fontId="11" fillId="0" borderId="1" xfId="7" applyNumberFormat="1" applyFont="1" applyBorder="1" applyAlignment="1">
      <alignment vertical="top" wrapText="1"/>
    </xf>
    <xf numFmtId="13" fontId="11" fillId="0" borderId="3" xfId="7" applyNumberFormat="1" applyFont="1" applyBorder="1" applyAlignment="1">
      <alignment vertical="top"/>
    </xf>
    <xf numFmtId="49" fontId="11" fillId="0" borderId="3" xfId="6" applyFont="1" applyBorder="1" applyAlignment="1">
      <alignment vertical="top" wrapText="1"/>
    </xf>
    <xf numFmtId="13" fontId="11" fillId="0" borderId="3" xfId="7" applyNumberFormat="1" applyFont="1" applyBorder="1" applyAlignment="1">
      <alignment vertical="top" wrapText="1"/>
    </xf>
    <xf numFmtId="49" fontId="4" fillId="0" borderId="1" xfId="6" applyFont="1" applyBorder="1"/>
    <xf numFmtId="13" fontId="11" fillId="0" borderId="0" xfId="7" applyNumberFormat="1" applyFont="1" applyBorder="1" applyAlignment="1">
      <alignment vertical="top"/>
    </xf>
    <xf numFmtId="49" fontId="11" fillId="0" borderId="0" xfId="6" applyFont="1" applyAlignment="1">
      <alignment vertical="top"/>
    </xf>
    <xf numFmtId="13" fontId="11" fillId="3" borderId="1" xfId="7" applyNumberFormat="1" applyFont="1" applyFill="1" applyBorder="1" applyAlignment="1">
      <alignment vertical="top"/>
    </xf>
    <xf numFmtId="49" fontId="4" fillId="3" borderId="0" xfId="6" applyFont="1" applyFill="1"/>
    <xf numFmtId="49" fontId="11" fillId="3" borderId="1" xfId="6" applyFont="1" applyFill="1" applyBorder="1" applyAlignment="1">
      <alignment vertical="top"/>
    </xf>
    <xf numFmtId="0" fontId="23" fillId="0" borderId="0" xfId="0" applyFont="1" applyAlignment="1">
      <alignment horizontal="left" readingOrder="1"/>
    </xf>
    <xf numFmtId="49" fontId="4" fillId="0" borderId="0" xfId="3" applyFont="1" applyAlignment="1">
      <alignment wrapText="1"/>
    </xf>
    <xf numFmtId="49" fontId="4" fillId="0" borderId="0" xfId="3" applyFont="1" applyAlignment="1">
      <alignment vertical="center"/>
    </xf>
    <xf numFmtId="49" fontId="5" fillId="0" borderId="0" xfId="3" applyFont="1" applyAlignment="1">
      <alignment vertical="center"/>
    </xf>
    <xf numFmtId="13" fontId="5" fillId="0" borderId="0" xfId="7" applyNumberFormat="1" applyFont="1" applyBorder="1" applyAlignment="1">
      <alignment vertical="top"/>
    </xf>
    <xf numFmtId="166" fontId="3" fillId="0" borderId="0" xfId="7" applyNumberFormat="1" applyFont="1" applyBorder="1" applyAlignment="1">
      <alignment vertical="top"/>
    </xf>
    <xf numFmtId="0" fontId="5" fillId="0" borderId="0" xfId="0" applyFont="1" applyAlignment="1">
      <alignment vertical="top"/>
    </xf>
    <xf numFmtId="49" fontId="5" fillId="0" borderId="0" xfId="2" applyFont="1" applyAlignment="1">
      <alignment vertical="top"/>
    </xf>
    <xf numFmtId="166" fontId="4" fillId="0" borderId="0" xfId="7" applyNumberFormat="1" applyFont="1" applyAlignment="1">
      <alignment vertical="top"/>
    </xf>
    <xf numFmtId="166" fontId="4" fillId="0" borderId="0" xfId="0" applyNumberFormat="1" applyFont="1" applyAlignment="1">
      <alignment vertical="top"/>
    </xf>
    <xf numFmtId="13" fontId="5" fillId="0" borderId="0" xfId="7" applyNumberFormat="1" applyFont="1" applyBorder="1" applyAlignment="1"/>
    <xf numFmtId="165" fontId="5" fillId="0" borderId="0" xfId="7" applyFont="1" applyBorder="1" applyAlignment="1">
      <alignment vertical="top"/>
    </xf>
    <xf numFmtId="49" fontId="5" fillId="0" borderId="0" xfId="6" applyFont="1" applyAlignment="1">
      <alignment vertical="top"/>
    </xf>
    <xf numFmtId="166" fontId="11" fillId="0" borderId="1" xfId="6" applyNumberFormat="1" applyFont="1" applyBorder="1" applyAlignment="1">
      <alignment vertical="top"/>
    </xf>
    <xf numFmtId="165" fontId="3" fillId="0" borderId="0" xfId="7" applyFont="1" applyAlignment="1">
      <alignment vertical="top"/>
    </xf>
    <xf numFmtId="166" fontId="11" fillId="0" borderId="1" xfId="7" applyNumberFormat="1" applyFont="1" applyBorder="1" applyAlignment="1">
      <alignment horizontal="right" vertical="top"/>
    </xf>
    <xf numFmtId="166" fontId="11" fillId="0" borderId="0" xfId="7" applyNumberFormat="1" applyFont="1" applyBorder="1" applyAlignment="1">
      <alignment vertical="top"/>
    </xf>
    <xf numFmtId="49" fontId="11" fillId="0" borderId="1" xfId="2" applyFont="1" applyBorder="1" applyAlignment="1">
      <alignment vertical="top" wrapText="1"/>
    </xf>
    <xf numFmtId="13" fontId="11" fillId="0" borderId="1" xfId="7" applyNumberFormat="1" applyFont="1" applyBorder="1" applyAlignment="1">
      <alignment horizontal="left" vertical="top"/>
    </xf>
    <xf numFmtId="49" fontId="11" fillId="0" borderId="4" xfId="2" applyFont="1" applyBorder="1" applyAlignment="1">
      <alignment vertical="top"/>
    </xf>
    <xf numFmtId="49" fontId="11" fillId="0" borderId="5" xfId="2" applyFont="1" applyBorder="1" applyAlignment="1">
      <alignment vertical="top" wrapText="1"/>
    </xf>
    <xf numFmtId="49" fontId="11" fillId="0" borderId="0" xfId="2" applyFont="1" applyAlignment="1">
      <alignment vertical="top"/>
    </xf>
    <xf numFmtId="49" fontId="11" fillId="0" borderId="0" xfId="2" applyFont="1" applyAlignment="1">
      <alignment vertical="top" wrapText="1"/>
    </xf>
    <xf numFmtId="49" fontId="11" fillId="0" borderId="0" xfId="6" applyFont="1" applyAlignment="1">
      <alignment vertical="top" wrapText="1"/>
    </xf>
    <xf numFmtId="49" fontId="11" fillId="0" borderId="4" xfId="2" applyFont="1" applyBorder="1" applyAlignment="1">
      <alignment vertical="top" wrapText="1"/>
    </xf>
    <xf numFmtId="13" fontId="11" fillId="0" borderId="6" xfId="7" applyNumberFormat="1" applyFont="1" applyBorder="1" applyAlignment="1">
      <alignment vertical="top"/>
    </xf>
    <xf numFmtId="165" fontId="6" fillId="0" borderId="2" xfId="7" applyFont="1" applyBorder="1"/>
    <xf numFmtId="49" fontId="4" fillId="0" borderId="2" xfId="6" applyFont="1" applyBorder="1"/>
    <xf numFmtId="166" fontId="3" fillId="0" borderId="2" xfId="7" applyNumberFormat="1" applyFont="1" applyBorder="1"/>
    <xf numFmtId="49" fontId="11" fillId="0" borderId="3" xfId="2" applyFont="1" applyBorder="1" applyAlignment="1">
      <alignment vertical="top"/>
    </xf>
    <xf numFmtId="49" fontId="11" fillId="0" borderId="3" xfId="2" applyFont="1" applyBorder="1" applyAlignment="1">
      <alignment vertical="top" wrapText="1"/>
    </xf>
    <xf numFmtId="49" fontId="11" fillId="0" borderId="7" xfId="2" applyFont="1" applyBorder="1" applyAlignment="1">
      <alignment vertical="top" wrapText="1"/>
    </xf>
    <xf numFmtId="166" fontId="11" fillId="0" borderId="1" xfId="7" applyNumberFormat="1" applyFont="1" applyBorder="1" applyAlignment="1">
      <alignment horizontal="right" vertical="top" wrapText="1"/>
    </xf>
    <xf numFmtId="49" fontId="11" fillId="0" borderId="5" xfId="6" applyFont="1" applyBorder="1" applyAlignment="1">
      <alignment vertical="top"/>
    </xf>
    <xf numFmtId="49" fontId="11" fillId="0" borderId="1" xfId="2" applyFont="1" applyBorder="1" applyAlignment="1">
      <alignment horizontal="left" vertical="top"/>
    </xf>
    <xf numFmtId="166" fontId="11" fillId="0" borderId="4" xfId="7" applyNumberFormat="1" applyFont="1" applyBorder="1" applyAlignment="1">
      <alignment horizontal="right" vertical="top"/>
    </xf>
    <xf numFmtId="49" fontId="11" fillId="0" borderId="7" xfId="6" applyFont="1" applyBorder="1" applyAlignment="1">
      <alignment vertical="top"/>
    </xf>
    <xf numFmtId="13" fontId="11" fillId="0" borderId="3" xfId="7" applyNumberFormat="1" applyFont="1" applyBorder="1" applyAlignment="1">
      <alignment horizontal="left" vertical="top"/>
    </xf>
    <xf numFmtId="49" fontId="11" fillId="0" borderId="3" xfId="6" applyFont="1" applyBorder="1" applyAlignment="1">
      <alignment horizontal="left" vertical="top" wrapText="1"/>
    </xf>
    <xf numFmtId="49" fontId="11" fillId="0" borderId="3" xfId="6" applyFont="1" applyBorder="1" applyAlignment="1">
      <alignment horizontal="left" vertical="top"/>
    </xf>
    <xf numFmtId="49" fontId="11" fillId="0" borderId="1" xfId="6" applyFont="1" applyBorder="1" applyAlignment="1">
      <alignment horizontal="left" vertical="top" wrapText="1"/>
    </xf>
    <xf numFmtId="49" fontId="11" fillId="0" borderId="1" xfId="6" applyFont="1" applyBorder="1" applyAlignment="1">
      <alignment horizontal="left" vertical="top"/>
    </xf>
    <xf numFmtId="166" fontId="11" fillId="0" borderId="1" xfId="7" applyNumberFormat="1" applyFont="1" applyBorder="1" applyAlignment="1">
      <alignment horizontal="left" vertical="top"/>
    </xf>
    <xf numFmtId="166" fontId="11" fillId="0" borderId="3" xfId="7" applyNumberFormat="1" applyFont="1" applyBorder="1" applyAlignment="1">
      <alignment horizontal="right" vertical="top"/>
    </xf>
    <xf numFmtId="166" fontId="11" fillId="0" borderId="7" xfId="7" applyNumberFormat="1" applyFont="1" applyBorder="1" applyAlignment="1">
      <alignment horizontal="right" vertical="top"/>
    </xf>
    <xf numFmtId="49" fontId="11" fillId="0" borderId="1" xfId="2" applyFont="1" applyBorder="1" applyAlignment="1">
      <alignment horizontal="left" vertical="top" wrapText="1"/>
    </xf>
    <xf numFmtId="166" fontId="11" fillId="0" borderId="0" xfId="7" applyNumberFormat="1" applyFont="1" applyBorder="1" applyAlignment="1">
      <alignment horizontal="right" vertical="top"/>
    </xf>
    <xf numFmtId="49" fontId="4" fillId="0" borderId="0" xfId="6" applyFont="1" applyAlignment="1">
      <alignment horizontal="left" vertical="top"/>
    </xf>
    <xf numFmtId="49" fontId="5" fillId="0" borderId="0" xfId="6" applyFont="1" applyAlignment="1">
      <alignment horizontal="left" vertical="top"/>
    </xf>
    <xf numFmtId="166" fontId="3" fillId="0" borderId="0" xfId="7" applyNumberFormat="1" applyFont="1" applyBorder="1" applyAlignment="1">
      <alignment horizontal="left" vertical="top"/>
    </xf>
    <xf numFmtId="13" fontId="11" fillId="0" borderId="0" xfId="7" applyNumberFormat="1" applyFont="1" applyBorder="1" applyAlignment="1">
      <alignment horizontal="left" vertical="top"/>
    </xf>
    <xf numFmtId="166" fontId="11" fillId="0" borderId="0" xfId="7" applyNumberFormat="1" applyFont="1" applyBorder="1" applyAlignment="1">
      <alignment horizontal="left" vertical="top"/>
    </xf>
    <xf numFmtId="49" fontId="3" fillId="0" borderId="0" xfId="6" applyFont="1" applyAlignment="1">
      <alignment horizontal="left" vertical="top" wrapText="1"/>
    </xf>
    <xf numFmtId="49" fontId="11" fillId="0" borderId="0" xfId="6" applyFont="1" applyAlignment="1">
      <alignment horizontal="left" vertical="top" wrapText="1"/>
    </xf>
    <xf numFmtId="49" fontId="11" fillId="0" borderId="0" xfId="6" applyFont="1" applyAlignment="1">
      <alignment horizontal="left" vertical="top"/>
    </xf>
    <xf numFmtId="165" fontId="7" fillId="2" borderId="8" xfId="7" applyFont="1" applyFill="1" applyBorder="1" applyAlignment="1">
      <alignment horizontal="left" vertical="top"/>
    </xf>
    <xf numFmtId="165" fontId="7" fillId="2" borderId="8" xfId="7" applyFont="1" applyFill="1" applyBorder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49" fontId="7" fillId="4" borderId="8" xfId="6" applyFont="1" applyFill="1" applyBorder="1" applyAlignment="1">
      <alignment horizontal="left" vertical="top" wrapText="1"/>
    </xf>
    <xf numFmtId="49" fontId="11" fillId="0" borderId="0" xfId="2" applyFont="1" applyAlignment="1">
      <alignment horizontal="left" vertical="top" wrapText="1"/>
    </xf>
    <xf numFmtId="164" fontId="11" fillId="0" borderId="1" xfId="7" applyNumberFormat="1" applyFont="1" applyBorder="1" applyAlignment="1">
      <alignment horizontal="left" vertical="top"/>
    </xf>
    <xf numFmtId="49" fontId="11" fillId="3" borderId="1" xfId="6" applyFont="1" applyFill="1" applyBorder="1" applyAlignment="1">
      <alignment horizontal="left" vertical="top"/>
    </xf>
    <xf numFmtId="49" fontId="11" fillId="3" borderId="1" xfId="6" applyFont="1" applyFill="1" applyBorder="1" applyAlignment="1">
      <alignment horizontal="left" vertical="top" wrapText="1"/>
    </xf>
    <xf numFmtId="49" fontId="11" fillId="3" borderId="1" xfId="6" applyFont="1" applyFill="1" applyBorder="1" applyAlignment="1">
      <alignment vertical="top" wrapText="1"/>
    </xf>
    <xf numFmtId="166" fontId="4" fillId="0" borderId="0" xfId="6" applyNumberFormat="1" applyFont="1"/>
    <xf numFmtId="13" fontId="11" fillId="0" borderId="1" xfId="7" applyNumberFormat="1" applyFont="1" applyFill="1" applyBorder="1" applyAlignment="1">
      <alignment vertical="top"/>
    </xf>
    <xf numFmtId="166" fontId="11" fillId="0" borderId="1" xfId="7" applyNumberFormat="1" applyFont="1" applyFill="1" applyBorder="1" applyAlignment="1">
      <alignment horizontal="right" vertical="top"/>
    </xf>
    <xf numFmtId="165" fontId="7" fillId="4" borderId="8" xfId="7" applyFont="1" applyFill="1" applyBorder="1" applyAlignment="1">
      <alignment horizontal="left"/>
    </xf>
    <xf numFmtId="49" fontId="11" fillId="0" borderId="3" xfId="2" applyFont="1" applyBorder="1" applyAlignment="1">
      <alignment horizontal="left" vertical="top"/>
    </xf>
    <xf numFmtId="49" fontId="11" fillId="0" borderId="7" xfId="2" applyFont="1" applyBorder="1" applyAlignment="1">
      <alignment horizontal="left" vertical="top"/>
    </xf>
    <xf numFmtId="49" fontId="11" fillId="0" borderId="7" xfId="2" applyFont="1" applyBorder="1" applyAlignment="1">
      <alignment horizontal="left" vertical="top" wrapText="1"/>
    </xf>
    <xf numFmtId="49" fontId="4" fillId="0" borderId="0" xfId="6" applyFont="1" applyAlignment="1">
      <alignment vertical="top"/>
    </xf>
    <xf numFmtId="0" fontId="24" fillId="0" borderId="0" xfId="0" applyFont="1" applyAlignment="1">
      <alignment horizontal="left" vertical="top"/>
    </xf>
    <xf numFmtId="165" fontId="6" fillId="0" borderId="0" xfId="7" applyFont="1" applyBorder="1" applyAlignment="1"/>
    <xf numFmtId="165" fontId="9" fillId="0" borderId="0" xfId="7" applyFont="1" applyBorder="1" applyAlignment="1">
      <alignment vertical="top"/>
    </xf>
    <xf numFmtId="166" fontId="11" fillId="0" borderId="6" xfId="7" applyNumberFormat="1" applyFont="1" applyBorder="1" applyAlignment="1">
      <alignment horizontal="right" vertical="top"/>
    </xf>
    <xf numFmtId="49" fontId="11" fillId="0" borderId="6" xfId="2" applyFont="1" applyBorder="1" applyAlignment="1">
      <alignment vertical="top" wrapText="1"/>
    </xf>
    <xf numFmtId="49" fontId="11" fillId="0" borderId="6" xfId="2" applyFont="1" applyBorder="1" applyAlignment="1">
      <alignment vertical="top"/>
    </xf>
    <xf numFmtId="49" fontId="11" fillId="0" borderId="6" xfId="2" applyFont="1" applyBorder="1" applyAlignment="1">
      <alignment horizontal="left" vertical="top" wrapText="1"/>
    </xf>
    <xf numFmtId="49" fontId="11" fillId="0" borderId="6" xfId="2" applyFont="1" applyBorder="1" applyAlignment="1">
      <alignment horizontal="left" vertical="top"/>
    </xf>
    <xf numFmtId="13" fontId="14" fillId="0" borderId="2" xfId="7" applyNumberFormat="1" applyFont="1" applyBorder="1" applyAlignment="1">
      <alignment horizontal="left" vertical="top"/>
    </xf>
    <xf numFmtId="13" fontId="11" fillId="0" borderId="1" xfId="7" applyNumberFormat="1" applyFont="1" applyBorder="1" applyAlignment="1">
      <alignment horizontal="left" vertical="top" wrapText="1"/>
    </xf>
    <xf numFmtId="166" fontId="11" fillId="0" borderId="1" xfId="7" applyNumberFormat="1" applyFont="1" applyBorder="1" applyAlignment="1">
      <alignment horizontal="left" vertical="top" wrapText="1"/>
    </xf>
    <xf numFmtId="49" fontId="11" fillId="0" borderId="6" xfId="6" applyFont="1" applyBorder="1" applyAlignment="1">
      <alignment horizontal="left" vertical="top"/>
    </xf>
    <xf numFmtId="49" fontId="16" fillId="0" borderId="1" xfId="6" applyFont="1" applyBorder="1" applyAlignment="1">
      <alignment horizontal="center" vertical="top"/>
    </xf>
    <xf numFmtId="49" fontId="11" fillId="0" borderId="12" xfId="6" applyFont="1" applyBorder="1" applyAlignment="1">
      <alignment vertical="top"/>
    </xf>
    <xf numFmtId="13" fontId="20" fillId="0" borderId="2" xfId="7" applyNumberFormat="1" applyFont="1" applyBorder="1" applyAlignment="1">
      <alignment horizontal="left" vertical="top"/>
    </xf>
    <xf numFmtId="49" fontId="5" fillId="0" borderId="0" xfId="2" applyFont="1" applyAlignment="1">
      <alignment horizontal="center"/>
    </xf>
    <xf numFmtId="49" fontId="10" fillId="0" borderId="0" xfId="3" applyFont="1" applyAlignment="1">
      <alignment horizontal="center" vertical="center" wrapText="1"/>
    </xf>
    <xf numFmtId="49" fontId="4" fillId="0" borderId="0" xfId="6" applyFont="1" applyAlignment="1">
      <alignment horizontal="center" vertical="top"/>
    </xf>
    <xf numFmtId="166" fontId="11" fillId="0" borderId="0" xfId="6" applyNumberFormat="1" applyFont="1" applyAlignment="1">
      <alignment horizontal="right" vertical="top"/>
    </xf>
    <xf numFmtId="166" fontId="7" fillId="2" borderId="8" xfId="6" applyNumberFormat="1" applyFont="1" applyFill="1" applyBorder="1" applyAlignment="1">
      <alignment horizontal="right" vertical="top"/>
    </xf>
    <xf numFmtId="166" fontId="11" fillId="0" borderId="0" xfId="2" applyNumberFormat="1" applyFont="1" applyAlignment="1">
      <alignment horizontal="right" vertical="top"/>
    </xf>
    <xf numFmtId="166" fontId="11" fillId="0" borderId="0" xfId="6" applyNumberFormat="1" applyFont="1" applyAlignment="1">
      <alignment horizontal="right" vertical="top" wrapText="1"/>
    </xf>
    <xf numFmtId="166" fontId="5" fillId="0" borderId="0" xfId="2" applyNumberFormat="1" applyFont="1" applyAlignment="1">
      <alignment horizontal="right" vertical="top"/>
    </xf>
    <xf numFmtId="166" fontId="10" fillId="0" borderId="0" xfId="3" applyNumberFormat="1" applyFont="1" applyAlignment="1">
      <alignment horizontal="right" vertical="top" wrapText="1"/>
    </xf>
    <xf numFmtId="166" fontId="3" fillId="0" borderId="2" xfId="6" applyNumberFormat="1" applyFont="1" applyBorder="1" applyAlignment="1">
      <alignment horizontal="right" vertical="top"/>
    </xf>
    <xf numFmtId="166" fontId="3" fillId="0" borderId="0" xfId="6" applyNumberFormat="1" applyFont="1" applyAlignment="1">
      <alignment horizontal="right" vertical="top"/>
    </xf>
    <xf numFmtId="166" fontId="4" fillId="0" borderId="0" xfId="3" applyNumberFormat="1" applyFont="1" applyAlignment="1">
      <alignment horizontal="right" vertical="top"/>
    </xf>
    <xf numFmtId="166" fontId="25" fillId="0" borderId="0" xfId="6" applyNumberFormat="1" applyFont="1" applyAlignment="1">
      <alignment horizontal="right" vertical="top"/>
    </xf>
    <xf numFmtId="166" fontId="7" fillId="2" borderId="8" xfId="7" applyNumberFormat="1" applyFont="1" applyFill="1" applyBorder="1" applyAlignment="1">
      <alignment horizontal="right" vertical="top"/>
    </xf>
    <xf numFmtId="166" fontId="11" fillId="3" borderId="1" xfId="7" applyNumberFormat="1" applyFont="1" applyFill="1" applyBorder="1" applyAlignment="1">
      <alignment horizontal="right" vertical="top"/>
    </xf>
    <xf numFmtId="166" fontId="11" fillId="0" borderId="5" xfId="7" applyNumberFormat="1" applyFont="1" applyBorder="1" applyAlignment="1">
      <alignment horizontal="right" vertical="top"/>
    </xf>
    <xf numFmtId="166" fontId="11" fillId="0" borderId="1" xfId="7" applyNumberFormat="1" applyFont="1" applyFill="1" applyBorder="1" applyAlignment="1">
      <alignment horizontal="right" vertical="top" wrapText="1"/>
    </xf>
    <xf numFmtId="166" fontId="4" fillId="0" borderId="0" xfId="0" applyNumberFormat="1" applyFont="1" applyAlignment="1">
      <alignment horizontal="right" vertical="top"/>
    </xf>
    <xf numFmtId="166" fontId="4" fillId="0" borderId="0" xfId="2" applyNumberFormat="1" applyFont="1" applyAlignment="1">
      <alignment horizontal="right" vertical="top"/>
    </xf>
    <xf numFmtId="166" fontId="4" fillId="0" borderId="0" xfId="6" applyNumberFormat="1" applyFont="1" applyAlignment="1">
      <alignment horizontal="right" vertical="top"/>
    </xf>
    <xf numFmtId="166" fontId="11" fillId="0" borderId="1" xfId="6" applyNumberFormat="1" applyFont="1" applyBorder="1" applyAlignment="1">
      <alignment horizontal="right" vertical="top"/>
    </xf>
    <xf numFmtId="166" fontId="3" fillId="0" borderId="0" xfId="7" applyNumberFormat="1" applyFont="1" applyAlignment="1">
      <alignment horizontal="right" vertical="top"/>
    </xf>
    <xf numFmtId="166" fontId="22" fillId="0" borderId="0" xfId="0" applyNumberFormat="1" applyFont="1" applyAlignment="1">
      <alignment horizontal="right" vertical="top"/>
    </xf>
    <xf numFmtId="1" fontId="11" fillId="0" borderId="0" xfId="6" applyNumberFormat="1" applyFont="1" applyAlignment="1">
      <alignment horizontal="right" vertical="top"/>
    </xf>
    <xf numFmtId="1" fontId="7" fillId="2" borderId="8" xfId="6" applyNumberFormat="1" applyFont="1" applyFill="1" applyBorder="1" applyAlignment="1">
      <alignment horizontal="right" vertical="top"/>
    </xf>
    <xf numFmtId="1" fontId="11" fillId="0" borderId="0" xfId="3" applyNumberFormat="1" applyFont="1" applyAlignment="1">
      <alignment horizontal="right" vertical="top"/>
    </xf>
    <xf numFmtId="13" fontId="9" fillId="0" borderId="0" xfId="7" applyNumberFormat="1" applyFont="1" applyFill="1" applyBorder="1" applyAlignment="1">
      <alignment horizontal="left" vertical="top"/>
    </xf>
    <xf numFmtId="49" fontId="11" fillId="0" borderId="0" xfId="6" applyFont="1" applyAlignment="1">
      <alignment horizontal="center" vertical="center" wrapText="1"/>
    </xf>
    <xf numFmtId="13" fontId="9" fillId="5" borderId="12" xfId="7" applyNumberFormat="1" applyFont="1" applyFill="1" applyBorder="1" applyAlignment="1">
      <alignment horizontal="left" vertical="top"/>
    </xf>
    <xf numFmtId="49" fontId="11" fillId="5" borderId="13" xfId="6" applyFont="1" applyFill="1" applyBorder="1" applyAlignment="1">
      <alignment horizontal="left" vertical="top"/>
    </xf>
    <xf numFmtId="49" fontId="11" fillId="5" borderId="13" xfId="6" applyFont="1" applyFill="1" applyBorder="1" applyAlignment="1">
      <alignment horizontal="center" vertical="center" wrapText="1"/>
    </xf>
    <xf numFmtId="166" fontId="11" fillId="5" borderId="13" xfId="7" applyNumberFormat="1" applyFont="1" applyFill="1" applyBorder="1" applyAlignment="1">
      <alignment horizontal="right" vertical="top"/>
    </xf>
    <xf numFmtId="166" fontId="11" fillId="0" borderId="0" xfId="7" applyNumberFormat="1" applyFont="1" applyFill="1" applyBorder="1" applyAlignment="1">
      <alignment horizontal="right" vertical="top"/>
    </xf>
    <xf numFmtId="13" fontId="11" fillId="0" borderId="4" xfId="7" applyNumberFormat="1" applyFont="1" applyBorder="1" applyAlignment="1">
      <alignment horizontal="left" vertical="top"/>
    </xf>
    <xf numFmtId="49" fontId="4" fillId="0" borderId="2" xfId="6" applyFont="1" applyBorder="1" applyAlignment="1">
      <alignment wrapText="1"/>
    </xf>
    <xf numFmtId="165" fontId="5" fillId="0" borderId="2" xfId="7" applyFont="1" applyBorder="1" applyAlignment="1">
      <alignment vertical="top"/>
    </xf>
    <xf numFmtId="166" fontId="9" fillId="0" borderId="0" xfId="6" applyNumberFormat="1" applyFont="1" applyAlignment="1">
      <alignment horizontal="right" vertical="top"/>
    </xf>
    <xf numFmtId="166" fontId="9" fillId="5" borderId="7" xfId="6" applyNumberFormat="1" applyFont="1" applyFill="1" applyBorder="1" applyAlignment="1">
      <alignment horizontal="right" vertical="top"/>
    </xf>
    <xf numFmtId="166" fontId="11" fillId="0" borderId="3" xfId="7" applyNumberFormat="1" applyFont="1" applyBorder="1" applyAlignment="1">
      <alignment horizontal="right" vertical="top" wrapText="1"/>
    </xf>
    <xf numFmtId="49" fontId="11" fillId="0" borderId="4" xfId="6" applyFont="1" applyBorder="1" applyAlignment="1">
      <alignment horizontal="left" vertical="top"/>
    </xf>
    <xf numFmtId="49" fontId="11" fillId="0" borderId="4" xfId="6" applyFont="1" applyBorder="1" applyAlignment="1">
      <alignment horizontal="left" vertical="top" wrapText="1"/>
    </xf>
    <xf numFmtId="166" fontId="11" fillId="0" borderId="7" xfId="6" applyNumberFormat="1" applyFont="1" applyBorder="1" applyAlignment="1">
      <alignment horizontal="right" vertical="top"/>
    </xf>
    <xf numFmtId="49" fontId="11" fillId="0" borderId="7" xfId="6" applyFont="1" applyBorder="1" applyAlignment="1">
      <alignment vertical="top" wrapText="1"/>
    </xf>
    <xf numFmtId="49" fontId="21" fillId="0" borderId="0" xfId="3" applyFont="1" applyAlignment="1">
      <alignment horizontal="left" vertical="top"/>
    </xf>
    <xf numFmtId="166" fontId="11" fillId="0" borderId="7" xfId="6" applyNumberFormat="1" applyFont="1" applyBorder="1" applyAlignment="1">
      <alignment vertical="top"/>
    </xf>
    <xf numFmtId="49" fontId="6" fillId="0" borderId="0" xfId="6" applyFont="1" applyAlignment="1">
      <alignment horizontal="center" vertical="top" wrapText="1"/>
    </xf>
    <xf numFmtId="49" fontId="20" fillId="0" borderId="2" xfId="2" applyFont="1" applyBorder="1" applyAlignment="1">
      <alignment horizontal="left" vertical="top"/>
    </xf>
    <xf numFmtId="49" fontId="14" fillId="0" borderId="2" xfId="2" applyFont="1" applyBorder="1" applyAlignment="1">
      <alignment horizontal="left" vertical="top"/>
    </xf>
    <xf numFmtId="165" fontId="6" fillId="0" borderId="0" xfId="7" applyFont="1" applyAlignment="1">
      <alignment horizontal="center"/>
    </xf>
    <xf numFmtId="1" fontId="6" fillId="0" borderId="0" xfId="2" applyNumberFormat="1" applyFont="1" applyAlignment="1">
      <alignment horizontal="center"/>
    </xf>
    <xf numFmtId="13" fontId="6" fillId="0" borderId="0" xfId="7" applyNumberFormat="1" applyFont="1" applyBorder="1" applyAlignment="1">
      <alignment horizontal="center"/>
    </xf>
    <xf numFmtId="13" fontId="9" fillId="5" borderId="15" xfId="7" applyNumberFormat="1" applyFont="1" applyFill="1" applyBorder="1" applyAlignment="1">
      <alignment horizontal="left" vertical="top"/>
    </xf>
    <xf numFmtId="166" fontId="11" fillId="5" borderId="2" xfId="7" applyNumberFormat="1" applyFont="1" applyFill="1" applyBorder="1" applyAlignment="1">
      <alignment horizontal="right" vertical="top"/>
    </xf>
    <xf numFmtId="166" fontId="9" fillId="5" borderId="5" xfId="6" applyNumberFormat="1" applyFont="1" applyFill="1" applyBorder="1" applyAlignment="1">
      <alignment horizontal="right" vertical="top"/>
    </xf>
    <xf numFmtId="13" fontId="14" fillId="0" borderId="0" xfId="7" applyNumberFormat="1" applyFont="1" applyBorder="1" applyAlignment="1">
      <alignment horizontal="center" vertical="top"/>
    </xf>
    <xf numFmtId="49" fontId="4" fillId="0" borderId="12" xfId="6" applyFont="1" applyBorder="1"/>
    <xf numFmtId="49" fontId="4" fillId="0" borderId="16" xfId="6" applyFont="1" applyBorder="1" applyAlignment="1">
      <alignment horizontal="left" vertical="top"/>
    </xf>
    <xf numFmtId="166" fontId="11" fillId="0" borderId="4" xfId="6" applyNumberFormat="1" applyFont="1" applyBorder="1" applyAlignment="1">
      <alignment horizontal="right" vertical="top"/>
    </xf>
    <xf numFmtId="49" fontId="11" fillId="0" borderId="4" xfId="6" applyFont="1" applyBorder="1" applyAlignment="1">
      <alignment wrapText="1"/>
    </xf>
    <xf numFmtId="166" fontId="11" fillId="0" borderId="12" xfId="6" applyNumberFormat="1" applyFont="1" applyBorder="1" applyAlignment="1">
      <alignment horizontal="right" vertical="top"/>
    </xf>
    <xf numFmtId="166" fontId="11" fillId="0" borderId="2" xfId="6" applyNumberFormat="1" applyFont="1" applyBorder="1" applyAlignment="1">
      <alignment horizontal="right" vertical="top"/>
    </xf>
    <xf numFmtId="49" fontId="11" fillId="0" borderId="4" xfId="6" applyFont="1" applyBorder="1" applyAlignment="1">
      <alignment vertical="top" wrapText="1"/>
    </xf>
    <xf numFmtId="165" fontId="5" fillId="0" borderId="2" xfId="7" applyFont="1" applyBorder="1" applyAlignment="1">
      <alignment horizontal="center"/>
    </xf>
    <xf numFmtId="49" fontId="4" fillId="0" borderId="6" xfId="6" applyFont="1" applyBorder="1"/>
    <xf numFmtId="166" fontId="3" fillId="0" borderId="6" xfId="7" applyNumberFormat="1" applyFont="1" applyBorder="1" applyAlignment="1">
      <alignment horizontal="right" vertical="top"/>
    </xf>
    <xf numFmtId="166" fontId="11" fillId="0" borderId="12" xfId="7" applyNumberFormat="1" applyFont="1" applyBorder="1" applyAlignment="1">
      <alignment horizontal="right" vertical="top"/>
    </xf>
    <xf numFmtId="166" fontId="11" fillId="0" borderId="4" xfId="7" applyNumberFormat="1" applyFont="1" applyBorder="1" applyAlignment="1">
      <alignment vertical="top"/>
    </xf>
    <xf numFmtId="49" fontId="5" fillId="0" borderId="2" xfId="6" applyFont="1" applyBorder="1"/>
    <xf numFmtId="49" fontId="3" fillId="0" borderId="2" xfId="6" applyFont="1" applyBorder="1" applyAlignment="1">
      <alignment wrapText="1"/>
    </xf>
    <xf numFmtId="166" fontId="11" fillId="0" borderId="2" xfId="7" applyNumberFormat="1" applyFont="1" applyBorder="1" applyAlignment="1">
      <alignment horizontal="right" vertical="top"/>
    </xf>
    <xf numFmtId="166" fontId="11" fillId="0" borderId="15" xfId="7" applyNumberFormat="1" applyFont="1" applyBorder="1" applyAlignment="1">
      <alignment horizontal="right" vertical="top"/>
    </xf>
    <xf numFmtId="165" fontId="3" fillId="0" borderId="0" xfId="7" applyFont="1" applyBorder="1" applyAlignment="1">
      <alignment vertical="top"/>
    </xf>
    <xf numFmtId="49" fontId="11" fillId="0" borderId="12" xfId="6" applyFont="1" applyBorder="1" applyAlignment="1">
      <alignment vertical="top" wrapText="1"/>
    </xf>
    <xf numFmtId="166" fontId="4" fillId="0" borderId="2" xfId="6" applyNumberFormat="1" applyFont="1" applyBorder="1"/>
    <xf numFmtId="49" fontId="4" fillId="0" borderId="13" xfId="6" applyFont="1" applyBorder="1"/>
    <xf numFmtId="49" fontId="4" fillId="0" borderId="7" xfId="6" applyFont="1" applyBorder="1"/>
    <xf numFmtId="166" fontId="4" fillId="0" borderId="0" xfId="6" applyNumberFormat="1" applyFont="1" applyAlignment="1">
      <alignment horizontal="right" vertical="top" wrapText="1"/>
    </xf>
    <xf numFmtId="166" fontId="14" fillId="0" borderId="0" xfId="7" applyNumberFormat="1" applyFont="1" applyBorder="1" applyAlignment="1">
      <alignment horizontal="right" vertical="top"/>
    </xf>
    <xf numFmtId="49" fontId="11" fillId="0" borderId="12" xfId="2" applyFont="1" applyBorder="1" applyAlignment="1">
      <alignment horizontal="left" vertical="top" wrapText="1"/>
    </xf>
    <xf numFmtId="166" fontId="4" fillId="0" borderId="13" xfId="2" applyNumberFormat="1" applyFont="1" applyBorder="1" applyAlignment="1">
      <alignment horizontal="right" vertical="top"/>
    </xf>
    <xf numFmtId="166" fontId="11" fillId="0" borderId="4" xfId="7" applyNumberFormat="1" applyFont="1" applyBorder="1" applyAlignment="1">
      <alignment horizontal="left" vertical="top"/>
    </xf>
    <xf numFmtId="166" fontId="4" fillId="0" borderId="6" xfId="6" applyNumberFormat="1" applyFont="1" applyBorder="1" applyAlignment="1">
      <alignment horizontal="right" vertical="top"/>
    </xf>
    <xf numFmtId="166" fontId="11" fillId="0" borderId="5" xfId="6" applyNumberFormat="1" applyFont="1" applyBorder="1" applyAlignment="1">
      <alignment horizontal="right" vertical="top"/>
    </xf>
    <xf numFmtId="166" fontId="3" fillId="0" borderId="13" xfId="6" applyNumberFormat="1" applyFont="1" applyBorder="1" applyAlignment="1">
      <alignment horizontal="right" vertical="top"/>
    </xf>
    <xf numFmtId="166" fontId="3" fillId="0" borderId="13" xfId="7" applyNumberFormat="1" applyFont="1" applyBorder="1" applyAlignment="1">
      <alignment horizontal="right" vertical="top"/>
    </xf>
    <xf numFmtId="166" fontId="4" fillId="0" borderId="2" xfId="2" applyNumberFormat="1" applyFont="1" applyBorder="1" applyAlignment="1">
      <alignment horizontal="right" vertical="top"/>
    </xf>
    <xf numFmtId="165" fontId="4" fillId="0" borderId="2" xfId="7" applyFont="1" applyBorder="1"/>
    <xf numFmtId="13" fontId="11" fillId="0" borderId="4" xfId="7" applyNumberFormat="1" applyFont="1" applyBorder="1" applyAlignment="1">
      <alignment vertical="top"/>
    </xf>
    <xf numFmtId="13" fontId="11" fillId="0" borderId="7" xfId="7" applyNumberFormat="1" applyFont="1" applyBorder="1" applyAlignment="1">
      <alignment horizontal="left" vertical="top" wrapText="1"/>
    </xf>
    <xf numFmtId="13" fontId="11" fillId="0" borderId="7" xfId="7" applyNumberFormat="1" applyFont="1" applyBorder="1" applyAlignment="1">
      <alignment horizontal="left" vertical="top"/>
    </xf>
    <xf numFmtId="13" fontId="14" fillId="0" borderId="2" xfId="7" applyNumberFormat="1" applyFont="1" applyFill="1" applyBorder="1" applyAlignment="1">
      <alignment horizontal="center" vertical="top"/>
    </xf>
    <xf numFmtId="13" fontId="6" fillId="0" borderId="2" xfId="7" applyNumberFormat="1" applyFont="1" applyFill="1" applyBorder="1" applyAlignment="1">
      <alignment horizontal="center" vertical="top" wrapText="1"/>
    </xf>
    <xf numFmtId="166" fontId="11" fillId="0" borderId="2" xfId="7" applyNumberFormat="1" applyFont="1" applyFill="1" applyBorder="1" applyAlignment="1">
      <alignment horizontal="right" vertical="top"/>
    </xf>
    <xf numFmtId="13" fontId="14" fillId="0" borderId="0" xfId="7" applyNumberFormat="1" applyFont="1" applyFill="1" applyBorder="1" applyAlignment="1">
      <alignment horizontal="center" vertical="top"/>
    </xf>
    <xf numFmtId="49" fontId="4" fillId="0" borderId="0" xfId="6" applyFont="1" applyAlignment="1">
      <alignment horizontal="center"/>
    </xf>
    <xf numFmtId="13" fontId="11" fillId="0" borderId="0" xfId="7" applyNumberFormat="1" applyFont="1" applyFill="1" applyBorder="1" applyAlignment="1">
      <alignment vertical="top"/>
    </xf>
    <xf numFmtId="166" fontId="11" fillId="0" borderId="0" xfId="7" applyNumberFormat="1" applyFont="1" applyFill="1" applyBorder="1" applyAlignment="1">
      <alignment vertical="top"/>
    </xf>
    <xf numFmtId="49" fontId="11" fillId="0" borderId="7" xfId="2" applyFont="1" applyBorder="1" applyAlignment="1">
      <alignment vertical="top"/>
    </xf>
    <xf numFmtId="49" fontId="11" fillId="0" borderId="12" xfId="2" applyFont="1" applyBorder="1" applyAlignment="1">
      <alignment vertical="top"/>
    </xf>
    <xf numFmtId="49" fontId="9" fillId="5" borderId="2" xfId="6" applyFont="1" applyFill="1" applyBorder="1" applyAlignment="1">
      <alignment horizontal="left" vertical="top"/>
    </xf>
    <xf numFmtId="49" fontId="9" fillId="5" borderId="2" xfId="6" applyFont="1" applyFill="1" applyBorder="1" applyAlignment="1">
      <alignment horizontal="center" vertical="center" wrapText="1"/>
    </xf>
    <xf numFmtId="1" fontId="4" fillId="0" borderId="0" xfId="3" applyNumberFormat="1" applyFont="1" applyAlignment="1">
      <alignment horizontal="right" vertical="top" wrapText="1"/>
    </xf>
    <xf numFmtId="166" fontId="8" fillId="0" borderId="0" xfId="3" applyNumberFormat="1" applyFont="1" applyAlignment="1">
      <alignment horizontal="right" vertical="top"/>
    </xf>
    <xf numFmtId="49" fontId="4" fillId="0" borderId="0" xfId="3" applyFont="1"/>
    <xf numFmtId="49" fontId="4" fillId="0" borderId="0" xfId="3" applyFont="1" applyAlignment="1">
      <alignment horizontal="center" vertical="center" wrapText="1"/>
    </xf>
    <xf numFmtId="13" fontId="5" fillId="0" borderId="0" xfId="7" applyNumberFormat="1" applyFont="1" applyBorder="1" applyAlignment="1">
      <alignment horizontal="left" vertical="center"/>
    </xf>
    <xf numFmtId="49" fontId="10" fillId="0" borderId="0" xfId="6" applyFont="1" applyAlignment="1">
      <alignment horizontal="left" vertical="center"/>
    </xf>
    <xf numFmtId="49" fontId="10" fillId="0" borderId="0" xfId="6" applyFont="1" applyAlignment="1">
      <alignment horizontal="left" vertical="center" wrapText="1"/>
    </xf>
    <xf numFmtId="166" fontId="10" fillId="0" borderId="0" xfId="7" applyNumberFormat="1" applyFont="1" applyBorder="1" applyAlignment="1">
      <alignment horizontal="left" vertical="center"/>
    </xf>
    <xf numFmtId="49" fontId="11" fillId="0" borderId="7" xfId="6" applyFont="1" applyBorder="1" applyAlignment="1">
      <alignment horizontal="left" vertical="top" wrapText="1"/>
    </xf>
    <xf numFmtId="166" fontId="11" fillId="0" borderId="7" xfId="7" applyNumberFormat="1" applyFont="1" applyBorder="1" applyAlignment="1">
      <alignment horizontal="left" vertical="top"/>
    </xf>
    <xf numFmtId="49" fontId="3" fillId="0" borderId="1" xfId="6" applyFont="1" applyBorder="1" applyAlignment="1">
      <alignment vertical="top" wrapText="1"/>
    </xf>
    <xf numFmtId="49" fontId="9" fillId="0" borderId="0" xfId="6" applyFont="1"/>
    <xf numFmtId="1" fontId="9" fillId="0" borderId="0" xfId="6" applyNumberFormat="1" applyFont="1" applyAlignment="1">
      <alignment horizontal="right" vertical="top"/>
    </xf>
    <xf numFmtId="49" fontId="9" fillId="0" borderId="0" xfId="6" applyFont="1" applyAlignment="1">
      <alignment horizontal="left" vertical="top" wrapText="1"/>
    </xf>
    <xf numFmtId="49" fontId="9" fillId="0" borderId="0" xfId="6" applyFont="1" applyAlignment="1">
      <alignment horizontal="left" vertical="top" wrapText="1"/>
    </xf>
    <xf numFmtId="13" fontId="20" fillId="0" borderId="0" xfId="7" applyNumberFormat="1" applyFont="1" applyBorder="1" applyAlignment="1">
      <alignment horizontal="left"/>
    </xf>
    <xf numFmtId="13" fontId="11" fillId="0" borderId="0" xfId="7" applyNumberFormat="1" applyFont="1" applyBorder="1" applyAlignment="1">
      <alignment horizontal="left"/>
    </xf>
    <xf numFmtId="13" fontId="20" fillId="0" borderId="0" xfId="7" applyNumberFormat="1" applyFont="1" applyBorder="1" applyAlignment="1">
      <alignment horizontal="left" vertical="top"/>
    </xf>
    <xf numFmtId="13" fontId="20" fillId="0" borderId="15" xfId="7" applyNumberFormat="1" applyFont="1" applyBorder="1" applyAlignment="1">
      <alignment horizontal="left" vertical="top" wrapText="1"/>
    </xf>
    <xf numFmtId="13" fontId="11" fillId="0" borderId="2" xfId="7" applyNumberFormat="1" applyFont="1" applyBorder="1" applyAlignment="1">
      <alignment horizontal="left" vertical="top"/>
    </xf>
    <xf numFmtId="13" fontId="20" fillId="0" borderId="0" xfId="7" applyNumberFormat="1" applyFont="1" applyBorder="1" applyAlignment="1">
      <alignment horizontal="left" vertical="top" wrapText="1"/>
    </xf>
    <xf numFmtId="13" fontId="11" fillId="0" borderId="0" xfId="7" applyNumberFormat="1" applyFont="1" applyBorder="1" applyAlignment="1">
      <alignment horizontal="left" vertical="top"/>
    </xf>
    <xf numFmtId="13" fontId="20" fillId="0" borderId="2" xfId="7" applyNumberFormat="1" applyFont="1" applyBorder="1" applyAlignment="1">
      <alignment horizontal="left" vertical="top"/>
    </xf>
    <xf numFmtId="0" fontId="24" fillId="0" borderId="14" xfId="0" applyFont="1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49" fontId="8" fillId="0" borderId="6" xfId="5" applyFont="1" applyBorder="1" applyAlignment="1">
      <alignment horizontal="left" vertical="top" wrapText="1"/>
    </xf>
    <xf numFmtId="1" fontId="11" fillId="0" borderId="1" xfId="7" applyNumberFormat="1" applyFont="1" applyBorder="1" applyAlignment="1" applyProtection="1">
      <alignment horizontal="right" vertical="top"/>
      <protection locked="0"/>
    </xf>
    <xf numFmtId="166" fontId="9" fillId="0" borderId="1" xfId="7" applyNumberFormat="1" applyFont="1" applyBorder="1" applyAlignment="1" applyProtection="1">
      <alignment horizontal="right" vertical="top"/>
      <protection locked="0"/>
    </xf>
    <xf numFmtId="1" fontId="11" fillId="0" borderId="7" xfId="7" applyNumberFormat="1" applyFont="1" applyBorder="1" applyAlignment="1" applyProtection="1">
      <alignment horizontal="right" vertical="top"/>
      <protection locked="0"/>
    </xf>
    <xf numFmtId="166" fontId="9" fillId="0" borderId="7" xfId="7" applyNumberFormat="1" applyFont="1" applyBorder="1" applyAlignment="1" applyProtection="1">
      <alignment horizontal="right" vertical="top"/>
      <protection locked="0"/>
    </xf>
    <xf numFmtId="1" fontId="11" fillId="0" borderId="0" xfId="7" applyNumberFormat="1" applyFont="1" applyBorder="1" applyAlignment="1" applyProtection="1">
      <alignment horizontal="right" vertical="top"/>
      <protection locked="0"/>
    </xf>
    <xf numFmtId="166" fontId="9" fillId="0" borderId="6" xfId="7" applyNumberFormat="1" applyFont="1" applyBorder="1" applyAlignment="1" applyProtection="1">
      <alignment horizontal="right" vertical="top"/>
      <protection locked="0"/>
    </xf>
    <xf numFmtId="1" fontId="11" fillId="0" borderId="2" xfId="7" applyNumberFormat="1" applyFont="1" applyBorder="1" applyAlignment="1" applyProtection="1">
      <alignment horizontal="right" vertical="top"/>
      <protection locked="0"/>
    </xf>
    <xf numFmtId="166" fontId="9" fillId="0" borderId="2" xfId="7" applyNumberFormat="1" applyFont="1" applyBorder="1" applyAlignment="1" applyProtection="1">
      <alignment horizontal="right" vertical="top"/>
      <protection locked="0"/>
    </xf>
    <xf numFmtId="1" fontId="11" fillId="0" borderId="4" xfId="7" applyNumberFormat="1" applyFont="1" applyBorder="1" applyAlignment="1" applyProtection="1">
      <alignment horizontal="right" vertical="top"/>
      <protection locked="0"/>
    </xf>
    <xf numFmtId="1" fontId="11" fillId="0" borderId="1" xfId="7" applyNumberFormat="1" applyFont="1" applyFill="1" applyBorder="1" applyAlignment="1" applyProtection="1">
      <alignment horizontal="right" vertical="top"/>
      <protection locked="0"/>
    </xf>
    <xf numFmtId="166" fontId="9" fillId="0" borderId="0" xfId="6" applyNumberFormat="1" applyFont="1" applyAlignment="1" applyProtection="1">
      <alignment horizontal="right" vertical="top"/>
      <protection locked="0"/>
    </xf>
    <xf numFmtId="166" fontId="9" fillId="0" borderId="2" xfId="6" applyNumberFormat="1" applyFont="1" applyBorder="1" applyAlignment="1" applyProtection="1">
      <alignment horizontal="right" vertical="top"/>
      <protection locked="0"/>
    </xf>
    <xf numFmtId="166" fontId="9" fillId="0" borderId="4" xfId="7" applyNumberFormat="1" applyFont="1" applyBorder="1" applyAlignment="1" applyProtection="1">
      <alignment horizontal="right" vertical="top"/>
      <protection locked="0"/>
    </xf>
    <xf numFmtId="1" fontId="11" fillId="0" borderId="3" xfId="7" applyNumberFormat="1" applyFont="1" applyBorder="1" applyAlignment="1" applyProtection="1">
      <alignment horizontal="right" vertical="top"/>
      <protection locked="0"/>
    </xf>
    <xf numFmtId="166" fontId="9" fillId="0" borderId="3" xfId="7" applyNumberFormat="1" applyFont="1" applyBorder="1" applyAlignment="1" applyProtection="1">
      <alignment horizontal="right" vertical="top"/>
      <protection locked="0"/>
    </xf>
    <xf numFmtId="49" fontId="11" fillId="5" borderId="13" xfId="6" applyFont="1" applyFill="1" applyBorder="1" applyAlignment="1" applyProtection="1">
      <alignment horizontal="center" vertical="center" wrapText="1"/>
      <protection locked="0"/>
    </xf>
    <xf numFmtId="166" fontId="9" fillId="5" borderId="7" xfId="6" applyNumberFormat="1" applyFont="1" applyFill="1" applyBorder="1" applyAlignment="1" applyProtection="1">
      <alignment horizontal="right" vertical="top"/>
      <protection locked="0"/>
    </xf>
    <xf numFmtId="1" fontId="6" fillId="0" borderId="0" xfId="2" applyNumberFormat="1" applyFont="1" applyAlignment="1" applyProtection="1">
      <alignment horizontal="center"/>
      <protection locked="0"/>
    </xf>
    <xf numFmtId="166" fontId="9" fillId="0" borderId="0" xfId="2" applyNumberFormat="1" applyFont="1" applyAlignment="1" applyProtection="1">
      <alignment horizontal="right" vertical="top"/>
      <protection locked="0"/>
    </xf>
    <xf numFmtId="49" fontId="14" fillId="0" borderId="2" xfId="2" applyFont="1" applyBorder="1" applyAlignment="1" applyProtection="1">
      <alignment horizontal="left" vertical="top"/>
      <protection locked="0"/>
    </xf>
    <xf numFmtId="49" fontId="14" fillId="0" borderId="0" xfId="2" applyFont="1" applyAlignment="1" applyProtection="1">
      <alignment horizontal="left" vertical="top"/>
      <protection locked="0"/>
    </xf>
    <xf numFmtId="166" fontId="9" fillId="0" borderId="0" xfId="7" applyNumberFormat="1" applyFont="1" applyBorder="1" applyAlignment="1" applyProtection="1">
      <alignment horizontal="right" vertical="top"/>
      <protection locked="0"/>
    </xf>
    <xf numFmtId="166" fontId="9" fillId="0" borderId="5" xfId="7" applyNumberFormat="1" applyFont="1" applyBorder="1" applyAlignment="1" applyProtection="1">
      <alignment horizontal="right" vertical="top"/>
      <protection locked="0"/>
    </xf>
    <xf numFmtId="166" fontId="9" fillId="0" borderId="7" xfId="7" applyNumberFormat="1" applyFont="1" applyFill="1" applyBorder="1" applyAlignment="1" applyProtection="1">
      <alignment horizontal="right" vertical="top"/>
      <protection locked="0"/>
    </xf>
    <xf numFmtId="1" fontId="11" fillId="0" borderId="13" xfId="7" applyNumberFormat="1" applyFont="1" applyBorder="1" applyAlignment="1" applyProtection="1">
      <alignment horizontal="right" vertical="top"/>
      <protection locked="0"/>
    </xf>
    <xf numFmtId="166" fontId="9" fillId="0" borderId="13" xfId="6" applyNumberFormat="1" applyFont="1" applyBorder="1" applyAlignment="1" applyProtection="1">
      <alignment horizontal="right" vertical="top"/>
      <protection locked="0"/>
    </xf>
    <xf numFmtId="1" fontId="11" fillId="5" borderId="13" xfId="6" applyNumberFormat="1" applyFont="1" applyFill="1" applyBorder="1" applyAlignment="1" applyProtection="1">
      <alignment horizontal="right" vertical="top"/>
      <protection locked="0"/>
    </xf>
    <xf numFmtId="1" fontId="11" fillId="0" borderId="0" xfId="6" applyNumberFormat="1" applyFont="1" applyAlignment="1" applyProtection="1">
      <alignment horizontal="right" vertical="top"/>
      <protection locked="0"/>
    </xf>
    <xf numFmtId="13" fontId="6" fillId="0" borderId="0" xfId="7" applyNumberFormat="1" applyFont="1" applyBorder="1" applyAlignment="1" applyProtection="1">
      <alignment horizontal="center"/>
      <protection locked="0"/>
    </xf>
    <xf numFmtId="1" fontId="11" fillId="0" borderId="1" xfId="6" applyNumberFormat="1" applyFont="1" applyBorder="1" applyAlignment="1" applyProtection="1">
      <alignment horizontal="right" vertical="top"/>
      <protection locked="0"/>
    </xf>
    <xf numFmtId="165" fontId="6" fillId="0" borderId="0" xfId="7" applyFont="1" applyBorder="1" applyAlignment="1" applyProtection="1">
      <alignment horizontal="center"/>
      <protection locked="0"/>
    </xf>
    <xf numFmtId="1" fontId="11" fillId="0" borderId="6" xfId="6" applyNumberFormat="1" applyFont="1" applyBorder="1" applyAlignment="1" applyProtection="1">
      <alignment horizontal="right" vertical="top"/>
      <protection locked="0"/>
    </xf>
    <xf numFmtId="1" fontId="11" fillId="0" borderId="2" xfId="6" applyNumberFormat="1" applyFont="1" applyBorder="1" applyAlignment="1" applyProtection="1">
      <alignment horizontal="right" vertical="top"/>
      <protection locked="0"/>
    </xf>
    <xf numFmtId="1" fontId="11" fillId="0" borderId="4" xfId="6" applyNumberFormat="1" applyFont="1" applyBorder="1" applyAlignment="1" applyProtection="1">
      <alignment horizontal="right" vertical="top"/>
      <protection locked="0"/>
    </xf>
    <xf numFmtId="165" fontId="6" fillId="0" borderId="0" xfId="7" applyFont="1" applyAlignment="1" applyProtection="1">
      <alignment horizontal="center"/>
      <protection locked="0"/>
    </xf>
    <xf numFmtId="1" fontId="11" fillId="0" borderId="7" xfId="6" applyNumberFormat="1" applyFont="1" applyBorder="1" applyAlignment="1" applyProtection="1">
      <alignment horizontal="right" vertical="top"/>
      <protection locked="0"/>
    </xf>
    <xf numFmtId="166" fontId="20" fillId="0" borderId="0" xfId="7" applyNumberFormat="1" applyFont="1" applyBorder="1" applyAlignment="1" applyProtection="1">
      <alignment horizontal="right" vertical="top"/>
      <protection locked="0"/>
    </xf>
    <xf numFmtId="49" fontId="6" fillId="0" borderId="0" xfId="6" applyFont="1" applyAlignment="1" applyProtection="1">
      <alignment horizontal="center" wrapText="1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49" fontId="6" fillId="0" borderId="0" xfId="6" applyFont="1" applyAlignment="1" applyProtection="1">
      <alignment horizontal="center" vertical="top" wrapText="1"/>
      <protection locked="0"/>
    </xf>
    <xf numFmtId="1" fontId="11" fillId="0" borderId="13" xfId="6" applyNumberFormat="1" applyFont="1" applyBorder="1" applyAlignment="1" applyProtection="1">
      <alignment horizontal="right" vertical="top"/>
      <protection locked="0"/>
    </xf>
    <xf numFmtId="166" fontId="9" fillId="0" borderId="13" xfId="7" applyNumberFormat="1" applyFont="1" applyBorder="1" applyAlignment="1" applyProtection="1">
      <alignment horizontal="right" vertical="top"/>
      <protection locked="0"/>
    </xf>
    <xf numFmtId="166" fontId="9" fillId="0" borderId="13" xfId="7" applyNumberFormat="1" applyFont="1" applyBorder="1" applyAlignment="1" applyProtection="1">
      <alignment horizontal="right"/>
      <protection locked="0"/>
    </xf>
    <xf numFmtId="166" fontId="9" fillId="0" borderId="1" xfId="6" applyNumberFormat="1" applyFont="1" applyBorder="1" applyAlignment="1" applyProtection="1">
      <alignment horizontal="right" vertical="top"/>
      <protection locked="0"/>
    </xf>
    <xf numFmtId="166" fontId="9" fillId="0" borderId="7" xfId="6" applyNumberFormat="1" applyFont="1" applyBorder="1" applyAlignment="1" applyProtection="1">
      <alignment horizontal="right" vertical="top"/>
      <protection locked="0"/>
    </xf>
    <xf numFmtId="166" fontId="9" fillId="0" borderId="0" xfId="7" applyNumberFormat="1" applyFont="1" applyAlignment="1" applyProtection="1">
      <alignment horizontal="right" vertical="top"/>
      <protection locked="0"/>
    </xf>
    <xf numFmtId="1" fontId="10" fillId="0" borderId="0" xfId="6" applyNumberFormat="1" applyFont="1" applyAlignment="1" applyProtection="1">
      <alignment horizontal="right" vertical="top"/>
      <protection locked="0"/>
    </xf>
    <xf numFmtId="166" fontId="5" fillId="0" borderId="0" xfId="6" applyNumberFormat="1" applyFont="1" applyAlignment="1" applyProtection="1">
      <alignment horizontal="right" vertical="top"/>
      <protection locked="0"/>
    </xf>
    <xf numFmtId="1" fontId="10" fillId="0" borderId="0" xfId="6" applyNumberFormat="1" applyFont="1" applyAlignment="1" applyProtection="1">
      <alignment horizontal="left" vertical="center"/>
      <protection locked="0"/>
    </xf>
    <xf numFmtId="166" fontId="5" fillId="0" borderId="0" xfId="7" applyNumberFormat="1" applyFont="1" applyBorder="1" applyAlignment="1" applyProtection="1">
      <alignment horizontal="left" vertical="center"/>
      <protection locked="0"/>
    </xf>
    <xf numFmtId="13" fontId="14" fillId="0" borderId="0" xfId="7" applyNumberFormat="1" applyFont="1" applyBorder="1" applyAlignment="1" applyProtection="1">
      <alignment horizontal="center" vertical="top"/>
      <protection locked="0"/>
    </xf>
    <xf numFmtId="166" fontId="9" fillId="0" borderId="2" xfId="7" applyNumberFormat="1" applyFont="1" applyFill="1" applyBorder="1" applyAlignment="1" applyProtection="1">
      <alignment horizontal="right" vertical="top"/>
      <protection locked="0"/>
    </xf>
    <xf numFmtId="166" fontId="9" fillId="0" borderId="1" xfId="7" applyNumberFormat="1" applyFont="1" applyFill="1" applyBorder="1" applyAlignment="1" applyProtection="1">
      <alignment horizontal="right" vertical="top"/>
      <protection locked="0"/>
    </xf>
  </cellXfs>
  <cellStyles count="9">
    <cellStyle name="Euro" xfId="1" xr:uid="{00000000-0005-0000-0000-000001000000}"/>
    <cellStyle name="Standard" xfId="0" builtinId="0"/>
    <cellStyle name="Standard_b-zak³-1997" xfId="2" xr:uid="{00000000-0005-0000-0000-000003000000}"/>
    <cellStyle name="Standard_ds-1997" xfId="3" xr:uid="{00000000-0005-0000-0000-000004000000}"/>
    <cellStyle name="Standard_Mappe1" xfId="4" xr:uid="{00000000-0005-0000-0000-000005000000}"/>
    <cellStyle name="Standard_srje-a-1997" xfId="5" xr:uid="{00000000-0005-0000-0000-000006000000}"/>
    <cellStyle name="Standard_zak³-a-1997" xfId="6" xr:uid="{00000000-0005-0000-0000-000007000000}"/>
    <cellStyle name="Währung" xfId="7" builtinId="4"/>
    <cellStyle name="Währung_Mappe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</xdr:colOff>
      <xdr:row>296</xdr:row>
      <xdr:rowOff>30478</xdr:rowOff>
    </xdr:from>
    <xdr:to>
      <xdr:col>2</xdr:col>
      <xdr:colOff>2335584</xdr:colOff>
      <xdr:row>297</xdr:row>
      <xdr:rowOff>125787</xdr:rowOff>
    </xdr:to>
    <xdr:sp macro="" textlink="">
      <xdr:nvSpPr>
        <xdr:cNvPr id="3083" name="Text 6">
          <a:extLst>
            <a:ext uri="{FF2B5EF4-FFF2-40B4-BE49-F238E27FC236}">
              <a16:creationId xmlns:a16="http://schemas.microsoft.com/office/drawing/2014/main" id="{D62FDDF8-3135-8D7B-7B22-37C082A5384B}"/>
            </a:ext>
          </a:extLst>
        </xdr:cNvPr>
        <xdr:cNvSpPr txBox="1">
          <a:spLocks noChangeArrowheads="1"/>
        </xdr:cNvSpPr>
      </xdr:nvSpPr>
      <xdr:spPr bwMode="auto">
        <a:xfrm flipV="1">
          <a:off x="1536700" y="94926148"/>
          <a:ext cx="2362200" cy="292102"/>
        </a:xfrm>
        <a:prstGeom prst="rect">
          <a:avLst/>
        </a:prstGeom>
        <a:solidFill>
          <a:srgbClr val="FFFFFF"/>
        </a:solidFill>
        <a:ln w="0">
          <a:solidFill>
            <a:srgbClr val="FFFF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de-DE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Termin: 9. meje / Mai 2025</a:t>
          </a:r>
        </a:p>
      </xdr:txBody>
    </xdr:sp>
    <xdr:clientData/>
  </xdr:twoCellAnchor>
  <xdr:twoCellAnchor>
    <xdr:from>
      <xdr:col>0</xdr:col>
      <xdr:colOff>103505</xdr:colOff>
      <xdr:row>271</xdr:row>
      <xdr:rowOff>0</xdr:rowOff>
    </xdr:from>
    <xdr:to>
      <xdr:col>4</xdr:col>
      <xdr:colOff>15904</xdr:colOff>
      <xdr:row>274</xdr:row>
      <xdr:rowOff>171450</xdr:rowOff>
    </xdr:to>
    <xdr:sp macro="" textlink="">
      <xdr:nvSpPr>
        <xdr:cNvPr id="9" name="Text 2">
          <a:extLst>
            <a:ext uri="{FF2B5EF4-FFF2-40B4-BE49-F238E27FC236}">
              <a16:creationId xmlns:a16="http://schemas.microsoft.com/office/drawing/2014/main" id="{84014A30-76C3-0602-C670-316D690F99AF}"/>
            </a:ext>
          </a:extLst>
        </xdr:cNvPr>
        <xdr:cNvSpPr txBox="1">
          <a:spLocks noChangeArrowheads="1"/>
        </xdr:cNvSpPr>
      </xdr:nvSpPr>
      <xdr:spPr bwMode="auto">
        <a:xfrm flipV="1">
          <a:off x="103505" y="92760800"/>
          <a:ext cx="4973349" cy="83820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de-DE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Chcemy Was na to skedźbnić, zo namakaće skazanske lisćiny a </a:t>
          </a:r>
          <a:r>
            <a:rPr lang="de-DE" sz="1100" b="0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formular za próstwu wo přizwolenje srědkow</a:t>
          </a:r>
          <a:r>
            <a:rPr lang="de-DE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Załožby za serbski lud k financowanju serbskich wučbnicow a wučbnych materialijow pod </a:t>
          </a:r>
          <a:r>
            <a:rPr lang="de-DE" sz="11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www.stiftung.sorben.com</a:t>
          </a:r>
          <a:r>
            <a:rPr lang="de-DE" sz="11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 </a:t>
          </a:r>
        </a:p>
        <a:p>
          <a:pPr algn="l" rtl="0">
            <a:defRPr sz="1000"/>
          </a:pPr>
          <a:r>
            <a:rPr lang="de-DE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(spěchowanje - wobłuki spěchowanja - financowanje wučbnicow)</a:t>
          </a:r>
        </a:p>
      </xdr:txBody>
    </xdr:sp>
    <xdr:clientData/>
  </xdr:twoCellAnchor>
  <xdr:twoCellAnchor>
    <xdr:from>
      <xdr:col>0</xdr:col>
      <xdr:colOff>135255</xdr:colOff>
      <xdr:row>281</xdr:row>
      <xdr:rowOff>85725</xdr:rowOff>
    </xdr:from>
    <xdr:to>
      <xdr:col>3</xdr:col>
      <xdr:colOff>568288</xdr:colOff>
      <xdr:row>286</xdr:row>
      <xdr:rowOff>90996</xdr:rowOff>
    </xdr:to>
    <xdr:sp macro="" textlink="">
      <xdr:nvSpPr>
        <xdr:cNvPr id="10" name="Text 2">
          <a:extLst>
            <a:ext uri="{FF2B5EF4-FFF2-40B4-BE49-F238E27FC236}">
              <a16:creationId xmlns:a16="http://schemas.microsoft.com/office/drawing/2014/main" id="{640EDEE2-6725-03C7-ADC5-462D7885E03B}"/>
            </a:ext>
          </a:extLst>
        </xdr:cNvPr>
        <xdr:cNvSpPr txBox="1">
          <a:spLocks noChangeArrowheads="1"/>
        </xdr:cNvSpPr>
      </xdr:nvSpPr>
      <xdr:spPr bwMode="auto">
        <a:xfrm>
          <a:off x="133350" y="72123300"/>
          <a:ext cx="4692650" cy="98425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de-DE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Wir möchten Sie darauf hinweisen, dass alle Bestelllisten einschl. </a:t>
          </a:r>
          <a:r>
            <a:rPr lang="de-DE" sz="1100" b="0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Anträge auf Gewährung einer Zuwendung</a:t>
          </a:r>
          <a:r>
            <a:rPr lang="de-DE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zur Finanzierung von sorbischsprachigen Schulbüchern und Unterrichtsmaterialien durch die Stiftung für das sorbische Volk unter </a:t>
          </a:r>
          <a:r>
            <a:rPr lang="de-DE" sz="11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www.stiftung.sorben.com</a:t>
          </a:r>
          <a:r>
            <a:rPr lang="de-DE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zu finden sind.                                                                             (Förderung - Förderbereiche - Förderung von Lehrbüchern)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139065</xdr:colOff>
      <xdr:row>14</xdr:row>
      <xdr:rowOff>57150</xdr:rowOff>
    </xdr:from>
    <xdr:ext cx="223622" cy="274359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C70CC237-8A5B-1548-9E30-234B4F7607E7}"/>
            </a:ext>
          </a:extLst>
        </xdr:cNvPr>
        <xdr:cNvSpPr txBox="1"/>
      </xdr:nvSpPr>
      <xdr:spPr>
        <a:xfrm>
          <a:off x="1672590" y="486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1"/>
  <sheetViews>
    <sheetView tabSelected="1" topLeftCell="A189" zoomScaleNormal="100" zoomScaleSheetLayoutView="100" zoomScalePageLayoutView="200" workbookViewId="0">
      <selection activeCell="J15" sqref="J15"/>
    </sheetView>
  </sheetViews>
  <sheetFormatPr baseColWidth="10" defaultColWidth="11.3828125" defaultRowHeight="14.15"/>
  <cols>
    <col min="1" max="1" width="13.3828125" style="7" customWidth="1"/>
    <col min="2" max="2" width="10.15234375" style="3" customWidth="1"/>
    <col min="3" max="3" width="38.69140625" style="7" customWidth="1"/>
    <col min="4" max="4" width="9.69140625" style="169" customWidth="1"/>
    <col min="5" max="5" width="9.3046875" style="182" customWidth="1"/>
    <col min="6" max="6" width="10.84375" style="195" customWidth="1"/>
    <col min="7" max="7" width="11.3828125" style="5" hidden="1" customWidth="1"/>
    <col min="8" max="16384" width="11.3828125" style="5"/>
  </cols>
  <sheetData>
    <row r="1" spans="1:8" ht="21" customHeight="1">
      <c r="A1" s="6" t="s">
        <v>0</v>
      </c>
      <c r="C1" s="4"/>
      <c r="G1" s="5" t="s">
        <v>1</v>
      </c>
    </row>
    <row r="2" spans="1:8" ht="21" customHeight="1">
      <c r="A2" s="6" t="s">
        <v>489</v>
      </c>
      <c r="C2" s="4"/>
      <c r="D2" s="171"/>
    </row>
    <row r="3" spans="1:8" ht="15" customHeight="1">
      <c r="A3" s="6"/>
      <c r="C3" s="4"/>
    </row>
    <row r="4" spans="1:8" ht="15">
      <c r="A4" s="27" t="s">
        <v>2</v>
      </c>
      <c r="C4" s="4"/>
    </row>
    <row r="5" spans="1:8" ht="15">
      <c r="A5" s="27" t="s">
        <v>3</v>
      </c>
      <c r="C5" s="4"/>
    </row>
    <row r="6" spans="1:8" ht="15.75" customHeight="1">
      <c r="A6" s="6"/>
      <c r="C6" s="4"/>
    </row>
    <row r="7" spans="1:8" s="8" customFormat="1" ht="21.75" customHeight="1">
      <c r="A7" s="120" t="s">
        <v>4</v>
      </c>
      <c r="B7" s="121" t="s">
        <v>5</v>
      </c>
      <c r="C7" s="130" t="s">
        <v>6</v>
      </c>
      <c r="D7" s="172" t="s">
        <v>7</v>
      </c>
      <c r="E7" s="183" t="s">
        <v>8</v>
      </c>
      <c r="F7" s="163" t="s">
        <v>9</v>
      </c>
    </row>
    <row r="8" spans="1:8" s="8" customFormat="1" ht="12.75" customHeight="1">
      <c r="A8" s="120" t="s">
        <v>10</v>
      </c>
      <c r="B8" s="139"/>
      <c r="C8" s="130" t="s">
        <v>11</v>
      </c>
      <c r="D8" s="172" t="s">
        <v>12</v>
      </c>
      <c r="E8" s="183" t="s">
        <v>13</v>
      </c>
      <c r="F8" s="163" t="s">
        <v>14</v>
      </c>
    </row>
    <row r="9" spans="1:8" ht="11.25" customHeight="1">
      <c r="A9" s="20"/>
      <c r="C9" s="4"/>
    </row>
    <row r="10" spans="1:8" s="8" customFormat="1" ht="15" customHeight="1">
      <c r="C10" s="21" t="s">
        <v>15</v>
      </c>
      <c r="D10" s="21"/>
      <c r="E10" s="21"/>
      <c r="F10" s="21"/>
      <c r="G10" s="21"/>
      <c r="H10" s="21"/>
    </row>
    <row r="11" spans="1:8" s="8" customFormat="1" ht="17.600000000000001">
      <c r="A11" s="22" t="s">
        <v>16</v>
      </c>
      <c r="B11" s="21"/>
      <c r="C11" s="4"/>
      <c r="D11" s="169"/>
      <c r="E11" s="182"/>
      <c r="F11" s="195"/>
    </row>
    <row r="12" spans="1:8" ht="18.75" customHeight="1">
      <c r="A12" s="83" t="s">
        <v>17</v>
      </c>
      <c r="B12" s="132" t="s">
        <v>18</v>
      </c>
      <c r="C12" s="105" t="s">
        <v>19</v>
      </c>
      <c r="D12" s="80">
        <v>16.899999999999999</v>
      </c>
      <c r="E12" s="286"/>
      <c r="F12" s="287" t="str">
        <f>IF(E12="","",D12*E12)</f>
        <v/>
      </c>
    </row>
    <row r="13" spans="1:8" ht="33" customHeight="1">
      <c r="A13" s="83" t="s">
        <v>20</v>
      </c>
      <c r="B13" s="106" t="s">
        <v>21</v>
      </c>
      <c r="C13" s="105" t="s">
        <v>22</v>
      </c>
      <c r="D13" s="80">
        <v>8.9</v>
      </c>
      <c r="E13" s="286"/>
      <c r="F13" s="287" t="str">
        <f>IF(E13="","",D13*E13)</f>
        <v/>
      </c>
    </row>
    <row r="14" spans="1:8" ht="38.25" customHeight="1">
      <c r="A14" s="110" t="s">
        <v>490</v>
      </c>
      <c r="B14" s="106" t="s">
        <v>23</v>
      </c>
      <c r="C14" s="131" t="s">
        <v>24</v>
      </c>
      <c r="D14" s="80">
        <v>8.9</v>
      </c>
      <c r="E14" s="286"/>
      <c r="F14" s="287"/>
    </row>
    <row r="15" spans="1:8" ht="34.5" customHeight="1">
      <c r="A15" s="83" t="s">
        <v>25</v>
      </c>
      <c r="B15" s="106" t="s">
        <v>26</v>
      </c>
      <c r="C15" s="105" t="s">
        <v>27</v>
      </c>
      <c r="D15" s="80">
        <v>8.9</v>
      </c>
      <c r="E15" s="286"/>
      <c r="F15" s="287"/>
    </row>
    <row r="16" spans="1:8" ht="28.3">
      <c r="A16" s="83" t="s">
        <v>28</v>
      </c>
      <c r="B16" s="106" t="s">
        <v>29</v>
      </c>
      <c r="C16" s="105" t="s">
        <v>30</v>
      </c>
      <c r="D16" s="80">
        <v>8.9</v>
      </c>
      <c r="E16" s="286"/>
      <c r="F16" s="287"/>
    </row>
    <row r="17" spans="1:6" ht="20.25" customHeight="1">
      <c r="A17" s="83" t="s">
        <v>31</v>
      </c>
      <c r="B17" s="132" t="s">
        <v>32</v>
      </c>
      <c r="C17" s="105" t="s">
        <v>33</v>
      </c>
      <c r="D17" s="80">
        <v>9.9</v>
      </c>
      <c r="E17" s="286"/>
      <c r="F17" s="287" t="str">
        <f t="shared" ref="F14:F23" si="0">IF(E17="","",D17*E17)</f>
        <v/>
      </c>
    </row>
    <row r="18" spans="1:6" s="63" customFormat="1" ht="28.3">
      <c r="A18" s="133" t="s">
        <v>34</v>
      </c>
      <c r="B18" s="133" t="s">
        <v>35</v>
      </c>
      <c r="C18" s="134" t="s">
        <v>36</v>
      </c>
      <c r="D18" s="173">
        <v>3.9</v>
      </c>
      <c r="E18" s="286"/>
      <c r="F18" s="287" t="str">
        <f t="shared" si="0"/>
        <v/>
      </c>
    </row>
    <row r="19" spans="1:6" ht="28.3">
      <c r="A19" s="83" t="s">
        <v>37</v>
      </c>
      <c r="B19" s="106" t="s">
        <v>38</v>
      </c>
      <c r="C19" s="105" t="s">
        <v>39</v>
      </c>
      <c r="D19" s="80">
        <v>3.9</v>
      </c>
      <c r="E19" s="286"/>
      <c r="F19" s="287" t="str">
        <f t="shared" si="0"/>
        <v/>
      </c>
    </row>
    <row r="20" spans="1:6" ht="21" customHeight="1">
      <c r="A20" s="83" t="s">
        <v>40</v>
      </c>
      <c r="B20" s="132" t="s">
        <v>41</v>
      </c>
      <c r="C20" s="105" t="s">
        <v>42</v>
      </c>
      <c r="D20" s="80">
        <v>11</v>
      </c>
      <c r="E20" s="286"/>
      <c r="F20" s="287" t="str">
        <f t="shared" si="0"/>
        <v/>
      </c>
    </row>
    <row r="21" spans="1:6" s="63" customFormat="1" ht="34.5" customHeight="1">
      <c r="A21" s="62" t="s">
        <v>43</v>
      </c>
      <c r="B21" s="64" t="s">
        <v>44</v>
      </c>
      <c r="C21" s="135" t="s">
        <v>45</v>
      </c>
      <c r="D21" s="173">
        <v>4.9000000000000004</v>
      </c>
      <c r="E21" s="286"/>
      <c r="F21" s="287" t="str">
        <f t="shared" si="0"/>
        <v/>
      </c>
    </row>
    <row r="22" spans="1:6" ht="32.25" customHeight="1">
      <c r="A22" s="50" t="s">
        <v>46</v>
      </c>
      <c r="B22" s="54" t="s">
        <v>47</v>
      </c>
      <c r="C22" s="51" t="s">
        <v>48</v>
      </c>
      <c r="D22" s="80">
        <v>4.9000000000000004</v>
      </c>
      <c r="E22" s="286"/>
      <c r="F22" s="287" t="str">
        <f t="shared" si="0"/>
        <v/>
      </c>
    </row>
    <row r="23" spans="1:6" ht="30" customHeight="1">
      <c r="A23" s="84" t="s">
        <v>49</v>
      </c>
      <c r="B23" s="98" t="s">
        <v>50</v>
      </c>
      <c r="C23" s="85" t="s">
        <v>51</v>
      </c>
      <c r="D23" s="174">
        <v>9.9</v>
      </c>
      <c r="E23" s="286"/>
      <c r="F23" s="287" t="str">
        <f t="shared" si="0"/>
        <v/>
      </c>
    </row>
    <row r="24" spans="1:6" ht="24" customHeight="1">
      <c r="A24" s="84" t="s">
        <v>491</v>
      </c>
      <c r="B24" s="98" t="s">
        <v>53</v>
      </c>
      <c r="C24" s="89" t="s">
        <v>54</v>
      </c>
      <c r="D24" s="100">
        <v>1.95</v>
      </c>
      <c r="E24" s="286"/>
      <c r="F24" s="287" t="str">
        <f>IF(E24="","",D24*E24)</f>
        <v/>
      </c>
    </row>
    <row r="25" spans="1:6" ht="22.2" customHeight="1">
      <c r="A25" s="89" t="s">
        <v>492</v>
      </c>
      <c r="B25" s="89" t="s">
        <v>55</v>
      </c>
      <c r="C25" s="89" t="s">
        <v>56</v>
      </c>
      <c r="D25" s="174">
        <v>8.9</v>
      </c>
      <c r="E25" s="286"/>
      <c r="F25" s="287" t="str">
        <f>IF(E25="","",D25*E25)</f>
        <v/>
      </c>
    </row>
    <row r="26" spans="1:6" ht="24" customHeight="1">
      <c r="A26" s="53" t="s">
        <v>57</v>
      </c>
      <c r="B26" s="53" t="s">
        <v>58</v>
      </c>
      <c r="C26" s="82" t="s">
        <v>59</v>
      </c>
      <c r="D26" s="80">
        <v>7.9</v>
      </c>
      <c r="E26" s="286"/>
      <c r="F26" s="287" t="str">
        <f>IF(E26="","",D26*E26)</f>
        <v/>
      </c>
    </row>
    <row r="27" spans="1:6" ht="36" customHeight="1">
      <c r="A27" s="53" t="s">
        <v>60</v>
      </c>
      <c r="B27" s="256" t="s">
        <v>61</v>
      </c>
      <c r="C27" s="96" t="s">
        <v>493</v>
      </c>
      <c r="D27" s="109">
        <v>1</v>
      </c>
      <c r="E27" s="288"/>
      <c r="F27" s="289" t="str">
        <f>IF(E27="","",D27*E27)</f>
        <v/>
      </c>
    </row>
    <row r="28" spans="1:6" ht="33" customHeight="1">
      <c r="A28" s="84" t="s">
        <v>62</v>
      </c>
      <c r="B28" s="257" t="s">
        <v>63</v>
      </c>
      <c r="C28" s="82" t="s">
        <v>494</v>
      </c>
      <c r="D28" s="80">
        <v>7.9</v>
      </c>
      <c r="E28" s="286"/>
      <c r="F28" s="287" t="str">
        <f>IF(E28="","",D28*E28)</f>
        <v/>
      </c>
    </row>
    <row r="29" spans="1:6" ht="17.25" customHeight="1">
      <c r="A29" s="86"/>
      <c r="B29" s="87"/>
      <c r="C29" s="81"/>
      <c r="D29" s="162"/>
      <c r="E29" s="290"/>
      <c r="F29" s="291"/>
    </row>
    <row r="30" spans="1:6" ht="18.75" customHeight="1">
      <c r="A30" s="69" t="s">
        <v>64</v>
      </c>
      <c r="C30" s="70"/>
      <c r="D30" s="168"/>
      <c r="E30" s="292"/>
      <c r="F30" s="293"/>
    </row>
    <row r="31" spans="1:6" ht="22.5" customHeight="1">
      <c r="A31" s="50" t="s">
        <v>65</v>
      </c>
      <c r="B31" s="54" t="s">
        <v>66</v>
      </c>
      <c r="C31" s="51" t="s">
        <v>67</v>
      </c>
      <c r="D31" s="100">
        <v>16.899999999999999</v>
      </c>
      <c r="E31" s="294"/>
      <c r="F31" s="287" t="str">
        <f t="shared" ref="F31:F52" si="1">IF(E31="","",D31*E31)</f>
        <v/>
      </c>
    </row>
    <row r="32" spans="1:6" ht="36" customHeight="1">
      <c r="A32" s="50" t="s">
        <v>68</v>
      </c>
      <c r="B32" s="54" t="s">
        <v>69</v>
      </c>
      <c r="C32" s="51" t="s">
        <v>70</v>
      </c>
      <c r="D32" s="80">
        <v>8.9</v>
      </c>
      <c r="E32" s="286"/>
      <c r="F32" s="287" t="str">
        <f t="shared" si="1"/>
        <v/>
      </c>
    </row>
    <row r="33" spans="1:41" ht="20.5" customHeight="1">
      <c r="A33" s="51" t="s">
        <v>71</v>
      </c>
      <c r="B33" s="51" t="s">
        <v>72</v>
      </c>
      <c r="C33" s="51" t="s">
        <v>73</v>
      </c>
      <c r="D33" s="80">
        <v>13.9</v>
      </c>
      <c r="E33" s="286"/>
      <c r="F33" s="287" t="str">
        <f t="shared" si="1"/>
        <v/>
      </c>
    </row>
    <row r="34" spans="1:41" ht="31.95" customHeight="1">
      <c r="A34" s="51" t="s">
        <v>74</v>
      </c>
      <c r="B34" s="51" t="s">
        <v>75</v>
      </c>
      <c r="C34" s="51" t="s">
        <v>480</v>
      </c>
      <c r="D34" s="80">
        <v>12.9</v>
      </c>
      <c r="E34" s="286"/>
      <c r="F34" s="287" t="str">
        <f>IF(E34="","",D34*E34)</f>
        <v/>
      </c>
    </row>
    <row r="35" spans="1:41" ht="34.5" customHeight="1">
      <c r="A35" s="51" t="s">
        <v>76</v>
      </c>
      <c r="B35" s="51" t="s">
        <v>77</v>
      </c>
      <c r="C35" s="51" t="s">
        <v>495</v>
      </c>
      <c r="D35" s="138">
        <v>12.9</v>
      </c>
      <c r="E35" s="295"/>
      <c r="F35" s="287" t="str">
        <f>IF(E35="","",D35*E35)</f>
        <v/>
      </c>
    </row>
    <row r="36" spans="1:41" ht="34.5" customHeight="1">
      <c r="A36" s="51" t="s">
        <v>496</v>
      </c>
      <c r="B36" s="51" t="s">
        <v>497</v>
      </c>
      <c r="C36" s="51" t="s">
        <v>501</v>
      </c>
      <c r="D36" s="138">
        <v>12.9</v>
      </c>
      <c r="E36" s="295"/>
      <c r="F36" s="287" t="str">
        <f>IF(E36="","",D36*E36)</f>
        <v/>
      </c>
    </row>
    <row r="37" spans="1:41" ht="34.5" customHeight="1">
      <c r="A37" s="51" t="s">
        <v>498</v>
      </c>
      <c r="B37" s="51" t="s">
        <v>499</v>
      </c>
      <c r="C37" s="51" t="s">
        <v>500</v>
      </c>
      <c r="D37" s="138">
        <v>12.9</v>
      </c>
      <c r="E37" s="295"/>
      <c r="F37" s="287" t="str">
        <f>IF(E37="","",D37*E37)</f>
        <v/>
      </c>
    </row>
    <row r="38" spans="1:41" ht="25.5" customHeight="1">
      <c r="A38" s="51" t="s">
        <v>78</v>
      </c>
      <c r="B38" s="51" t="s">
        <v>79</v>
      </c>
      <c r="C38" s="51" t="s">
        <v>80</v>
      </c>
      <c r="D38" s="80">
        <v>12.9</v>
      </c>
      <c r="E38" s="286"/>
      <c r="F38" s="287" t="str">
        <f t="shared" si="1"/>
        <v/>
      </c>
    </row>
    <row r="39" spans="1:41" ht="37.5" customHeight="1">
      <c r="A39" s="58" t="s">
        <v>81</v>
      </c>
      <c r="B39" s="57" t="s">
        <v>82</v>
      </c>
      <c r="C39" s="57" t="s">
        <v>83</v>
      </c>
      <c r="D39" s="197">
        <v>5.4</v>
      </c>
      <c r="E39" s="286"/>
      <c r="F39" s="287" t="str">
        <f t="shared" si="1"/>
        <v/>
      </c>
    </row>
    <row r="40" spans="1:41" ht="21.75" customHeight="1">
      <c r="A40" s="55" t="s">
        <v>84</v>
      </c>
      <c r="B40" s="51" t="s">
        <v>85</v>
      </c>
      <c r="C40" s="51" t="s">
        <v>86</v>
      </c>
      <c r="D40" s="97">
        <v>12.9</v>
      </c>
      <c r="E40" s="286"/>
      <c r="F40" s="287" t="str">
        <f t="shared" si="1"/>
        <v/>
      </c>
    </row>
    <row r="41" spans="1:41" ht="30" customHeight="1">
      <c r="A41" s="55" t="s">
        <v>87</v>
      </c>
      <c r="B41" s="51" t="s">
        <v>88</v>
      </c>
      <c r="C41" s="51" t="s">
        <v>89</v>
      </c>
      <c r="D41" s="97">
        <v>8.9</v>
      </c>
      <c r="E41" s="286"/>
      <c r="F41" s="287" t="str">
        <f t="shared" si="1"/>
        <v/>
      </c>
    </row>
    <row r="42" spans="1:41" ht="30" customHeight="1">
      <c r="A42" s="55" t="s">
        <v>90</v>
      </c>
      <c r="B42" s="51" t="s">
        <v>91</v>
      </c>
      <c r="C42" s="51" t="s">
        <v>92</v>
      </c>
      <c r="D42" s="97">
        <v>8.9</v>
      </c>
      <c r="E42" s="286"/>
      <c r="F42" s="287" t="str">
        <f t="shared" si="1"/>
        <v/>
      </c>
    </row>
    <row r="43" spans="1:41" ht="33" customHeight="1">
      <c r="A43" s="53" t="s">
        <v>93</v>
      </c>
      <c r="B43" s="82" t="s">
        <v>94</v>
      </c>
      <c r="C43" s="82" t="s">
        <v>95</v>
      </c>
      <c r="D43" s="80">
        <v>12</v>
      </c>
      <c r="E43" s="286"/>
      <c r="F43" s="287" t="str">
        <f t="shared" si="1"/>
        <v/>
      </c>
    </row>
    <row r="44" spans="1:41" s="59" customFormat="1" ht="22.5" customHeight="1">
      <c r="A44" s="55" t="s">
        <v>96</v>
      </c>
      <c r="B44" s="54" t="s">
        <v>97</v>
      </c>
      <c r="C44" s="51" t="s">
        <v>98</v>
      </c>
      <c r="D44" s="175">
        <v>9.9</v>
      </c>
      <c r="E44" s="286"/>
      <c r="F44" s="287" t="str">
        <f t="shared" si="1"/>
        <v/>
      </c>
      <c r="G44" s="21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ht="33" customHeight="1">
      <c r="A45" s="53" t="s">
        <v>99</v>
      </c>
      <c r="B45" s="51" t="s">
        <v>100</v>
      </c>
      <c r="C45" s="82" t="s">
        <v>101</v>
      </c>
      <c r="D45" s="80">
        <v>4.95</v>
      </c>
      <c r="E45" s="286"/>
      <c r="F45" s="287" t="str">
        <f t="shared" si="1"/>
        <v/>
      </c>
    </row>
    <row r="46" spans="1:41" ht="32.25" customHeight="1">
      <c r="A46" s="94" t="s">
        <v>102</v>
      </c>
      <c r="B46" s="57" t="s">
        <v>103</v>
      </c>
      <c r="C46" s="95" t="s">
        <v>104</v>
      </c>
      <c r="D46" s="108">
        <v>4.95</v>
      </c>
      <c r="E46" s="286"/>
      <c r="F46" s="287" t="str">
        <f t="shared" si="1"/>
        <v/>
      </c>
    </row>
    <row r="47" spans="1:41" ht="32.25" customHeight="1">
      <c r="A47" s="53" t="s">
        <v>105</v>
      </c>
      <c r="B47" s="94" t="s">
        <v>106</v>
      </c>
      <c r="C47" s="96" t="s">
        <v>107</v>
      </c>
      <c r="D47" s="109">
        <v>4.95</v>
      </c>
      <c r="E47" s="286"/>
      <c r="F47" s="287" t="str">
        <f t="shared" si="1"/>
        <v/>
      </c>
    </row>
    <row r="48" spans="1:41" ht="34.5" customHeight="1">
      <c r="A48" s="53" t="s">
        <v>108</v>
      </c>
      <c r="B48" s="94" t="s">
        <v>109</v>
      </c>
      <c r="C48" s="96" t="s">
        <v>110</v>
      </c>
      <c r="D48" s="109">
        <v>4.95</v>
      </c>
      <c r="E48" s="286"/>
      <c r="F48" s="287" t="str">
        <f t="shared" si="1"/>
        <v/>
      </c>
    </row>
    <row r="49" spans="1:8" ht="34.5" customHeight="1">
      <c r="A49" s="53" t="s">
        <v>111</v>
      </c>
      <c r="B49" s="94" t="s">
        <v>112</v>
      </c>
      <c r="C49" s="82" t="s">
        <v>113</v>
      </c>
      <c r="D49" s="80">
        <v>4.95</v>
      </c>
      <c r="E49" s="286"/>
      <c r="F49" s="287" t="str">
        <f t="shared" si="1"/>
        <v/>
      </c>
    </row>
    <row r="50" spans="1:8" ht="32.25" customHeight="1">
      <c r="A50" s="53" t="s">
        <v>114</v>
      </c>
      <c r="B50" s="99" t="s">
        <v>115</v>
      </c>
      <c r="C50" s="82" t="s">
        <v>116</v>
      </c>
      <c r="D50" s="80">
        <v>4.95</v>
      </c>
      <c r="E50" s="286"/>
      <c r="F50" s="287" t="str">
        <f t="shared" si="1"/>
        <v/>
      </c>
    </row>
    <row r="51" spans="1:8" ht="32.25" customHeight="1">
      <c r="A51" s="53" t="s">
        <v>117</v>
      </c>
      <c r="B51" s="141" t="s">
        <v>118</v>
      </c>
      <c r="C51" s="96" t="s">
        <v>119</v>
      </c>
      <c r="D51" s="109">
        <v>4.95</v>
      </c>
      <c r="E51" s="286"/>
      <c r="F51" s="287" t="str">
        <f t="shared" si="1"/>
        <v/>
      </c>
    </row>
    <row r="52" spans="1:8" ht="32.25" customHeight="1">
      <c r="A52" s="53" t="s">
        <v>120</v>
      </c>
      <c r="B52" s="141" t="s">
        <v>121</v>
      </c>
      <c r="C52" s="96" t="s">
        <v>122</v>
      </c>
      <c r="D52" s="80">
        <v>4.95</v>
      </c>
      <c r="E52" s="286"/>
      <c r="F52" s="287" t="str">
        <f t="shared" si="1"/>
        <v/>
      </c>
    </row>
    <row r="53" spans="1:8" ht="21.75" customHeight="1">
      <c r="A53" s="86"/>
      <c r="B53" s="87"/>
      <c r="C53" s="81"/>
      <c r="D53" s="164"/>
      <c r="E53" s="290"/>
      <c r="F53" s="296"/>
    </row>
    <row r="54" spans="1:8" ht="18.75" customHeight="1">
      <c r="A54" s="69" t="s">
        <v>123</v>
      </c>
      <c r="B54" s="5"/>
      <c r="C54" s="70"/>
      <c r="D54" s="168"/>
      <c r="E54" s="292"/>
      <c r="F54" s="297"/>
    </row>
    <row r="55" spans="1:8" ht="24" customHeight="1">
      <c r="A55" s="50" t="s">
        <v>502</v>
      </c>
      <c r="B55" s="94" t="s">
        <v>503</v>
      </c>
      <c r="C55" s="51" t="s">
        <v>504</v>
      </c>
      <c r="D55" s="100">
        <v>18.899999999999999</v>
      </c>
      <c r="E55" s="294"/>
      <c r="F55" s="298" t="str">
        <f t="shared" ref="F55:F63" si="2">IF(E55="","",D55*E55)</f>
        <v/>
      </c>
    </row>
    <row r="56" spans="1:8" ht="52.5" customHeight="1">
      <c r="A56" s="50" t="s">
        <v>505</v>
      </c>
      <c r="B56" s="140" t="s">
        <v>506</v>
      </c>
      <c r="C56" s="51" t="s">
        <v>507</v>
      </c>
      <c r="D56" s="80">
        <v>8.9</v>
      </c>
      <c r="E56" s="286"/>
      <c r="F56" s="287" t="str">
        <f t="shared" si="2"/>
        <v/>
      </c>
    </row>
    <row r="57" spans="1:8" ht="21" customHeight="1">
      <c r="A57" s="50" t="s">
        <v>124</v>
      </c>
      <c r="B57" s="94" t="s">
        <v>125</v>
      </c>
      <c r="C57" s="51" t="s">
        <v>126</v>
      </c>
      <c r="D57" s="80">
        <v>13.9</v>
      </c>
      <c r="E57" s="286"/>
      <c r="F57" s="287" t="str">
        <f t="shared" si="2"/>
        <v/>
      </c>
    </row>
    <row r="58" spans="1:8" ht="24" customHeight="1">
      <c r="A58" s="50" t="s">
        <v>127</v>
      </c>
      <c r="B58" s="99" t="s">
        <v>128</v>
      </c>
      <c r="C58" s="51" t="s">
        <v>129</v>
      </c>
      <c r="D58" s="80">
        <v>12.9</v>
      </c>
      <c r="E58" s="286"/>
      <c r="F58" s="287" t="str">
        <f t="shared" si="2"/>
        <v/>
      </c>
    </row>
    <row r="59" spans="1:8" ht="32.25" customHeight="1">
      <c r="A59" s="50" t="s">
        <v>130</v>
      </c>
      <c r="B59" s="94" t="s">
        <v>131</v>
      </c>
      <c r="C59" s="51" t="s">
        <v>132</v>
      </c>
      <c r="D59" s="100">
        <v>5.9</v>
      </c>
      <c r="E59" s="286"/>
      <c r="F59" s="287" t="str">
        <f t="shared" si="2"/>
        <v/>
      </c>
    </row>
    <row r="60" spans="1:8" ht="35.5" customHeight="1">
      <c r="A60" s="50" t="s">
        <v>133</v>
      </c>
      <c r="B60" s="99" t="s">
        <v>134</v>
      </c>
      <c r="C60" s="51" t="s">
        <v>135</v>
      </c>
      <c r="D60" s="80">
        <v>15</v>
      </c>
      <c r="E60" s="286"/>
      <c r="F60" s="287" t="str">
        <f t="shared" si="2"/>
        <v/>
      </c>
    </row>
    <row r="61" spans="1:8" ht="28.95" customHeight="1">
      <c r="A61" s="137" t="s">
        <v>136</v>
      </c>
      <c r="B61" s="99" t="s">
        <v>137</v>
      </c>
      <c r="C61" s="51" t="s">
        <v>138</v>
      </c>
      <c r="D61" s="138">
        <v>8.9</v>
      </c>
      <c r="E61" s="286"/>
      <c r="F61" s="287" t="str">
        <f t="shared" si="2"/>
        <v/>
      </c>
    </row>
    <row r="62" spans="1:8" ht="30.75" customHeight="1">
      <c r="A62" s="50" t="s">
        <v>139</v>
      </c>
      <c r="B62" s="99" t="s">
        <v>140</v>
      </c>
      <c r="C62" s="51" t="s">
        <v>141</v>
      </c>
      <c r="D62" s="80">
        <v>12.9</v>
      </c>
      <c r="E62" s="299"/>
      <c r="F62" s="300" t="str">
        <f t="shared" si="2"/>
        <v/>
      </c>
    </row>
    <row r="63" spans="1:8" ht="31.5" customHeight="1">
      <c r="A63" s="50" t="s">
        <v>142</v>
      </c>
      <c r="B63" s="99" t="s">
        <v>143</v>
      </c>
      <c r="C63" s="51" t="s">
        <v>144</v>
      </c>
      <c r="D63" s="224">
        <v>9.9</v>
      </c>
      <c r="E63" s="286"/>
      <c r="F63" s="287" t="str">
        <f t="shared" si="2"/>
        <v/>
      </c>
      <c r="G63" s="233"/>
      <c r="H63" s="234"/>
    </row>
    <row r="64" spans="1:8" ht="8.25" customHeight="1">
      <c r="A64" s="4"/>
      <c r="B64" s="11"/>
      <c r="C64" s="9"/>
      <c r="E64" s="290"/>
      <c r="F64" s="296"/>
    </row>
    <row r="65" spans="1:8" ht="15">
      <c r="A65" s="25" t="s">
        <v>145</v>
      </c>
      <c r="B65" s="5"/>
      <c r="C65" s="12"/>
      <c r="E65" s="292"/>
      <c r="F65" s="297"/>
    </row>
    <row r="66" spans="1:8" ht="20.25" customHeight="1">
      <c r="A66" s="102" t="s">
        <v>146</v>
      </c>
      <c r="B66" s="104" t="s">
        <v>147</v>
      </c>
      <c r="C66" s="103" t="s">
        <v>148</v>
      </c>
      <c r="D66" s="108">
        <v>15.9</v>
      </c>
      <c r="E66" s="294"/>
      <c r="F66" s="298" t="str">
        <f t="shared" ref="F66:F73" si="3">IF(E66="","",D66*E66)</f>
        <v/>
      </c>
    </row>
    <row r="67" spans="1:8" ht="32.25" customHeight="1">
      <c r="A67" s="102" t="s">
        <v>511</v>
      </c>
      <c r="B67" s="104" t="s">
        <v>149</v>
      </c>
      <c r="C67" s="103" t="s">
        <v>150</v>
      </c>
      <c r="D67" s="108">
        <v>6.9</v>
      </c>
      <c r="E67" s="286"/>
      <c r="F67" s="287" t="str">
        <f t="shared" si="3"/>
        <v/>
      </c>
    </row>
    <row r="68" spans="1:8" ht="21" customHeight="1">
      <c r="A68" s="83" t="s">
        <v>151</v>
      </c>
      <c r="B68" s="106" t="s">
        <v>152</v>
      </c>
      <c r="C68" s="105" t="s">
        <v>153</v>
      </c>
      <c r="D68" s="80">
        <v>13.9</v>
      </c>
      <c r="E68" s="286"/>
      <c r="F68" s="287" t="str">
        <f t="shared" si="3"/>
        <v/>
      </c>
    </row>
    <row r="69" spans="1:8" ht="18.75" customHeight="1">
      <c r="A69" s="83" t="s">
        <v>154</v>
      </c>
      <c r="B69" s="106" t="s">
        <v>155</v>
      </c>
      <c r="C69" s="105" t="s">
        <v>156</v>
      </c>
      <c r="D69" s="80">
        <v>15.9</v>
      </c>
      <c r="E69" s="286"/>
      <c r="F69" s="287" t="str">
        <f t="shared" si="3"/>
        <v/>
      </c>
    </row>
    <row r="70" spans="1:8" ht="31.5" customHeight="1">
      <c r="A70" s="83" t="s">
        <v>157</v>
      </c>
      <c r="B70" s="106" t="s">
        <v>158</v>
      </c>
      <c r="C70" s="105" t="s">
        <v>159</v>
      </c>
      <c r="D70" s="80">
        <v>6.9</v>
      </c>
      <c r="E70" s="286"/>
      <c r="F70" s="287" t="str">
        <f t="shared" si="3"/>
        <v/>
      </c>
    </row>
    <row r="71" spans="1:8" ht="28.3">
      <c r="A71" s="83" t="s">
        <v>160</v>
      </c>
      <c r="B71" s="106" t="s">
        <v>161</v>
      </c>
      <c r="C71" s="105" t="s">
        <v>162</v>
      </c>
      <c r="D71" s="80">
        <v>12</v>
      </c>
      <c r="E71" s="286"/>
      <c r="F71" s="287" t="str">
        <f t="shared" si="3"/>
        <v/>
      </c>
    </row>
    <row r="72" spans="1:8" ht="23.25" customHeight="1">
      <c r="A72" s="83" t="s">
        <v>163</v>
      </c>
      <c r="B72" s="106" t="s">
        <v>164</v>
      </c>
      <c r="C72" s="105" t="s">
        <v>165</v>
      </c>
      <c r="D72" s="80">
        <v>12.9</v>
      </c>
      <c r="E72" s="286"/>
      <c r="F72" s="287" t="str">
        <f t="shared" si="3"/>
        <v/>
      </c>
    </row>
    <row r="73" spans="1:8" ht="21.75" customHeight="1">
      <c r="A73" s="192" t="s">
        <v>166</v>
      </c>
      <c r="B73" s="198" t="s">
        <v>167</v>
      </c>
      <c r="C73" s="199" t="s">
        <v>168</v>
      </c>
      <c r="D73" s="100">
        <v>8.9</v>
      </c>
      <c r="E73" s="286"/>
      <c r="F73" s="287" t="str">
        <f t="shared" si="3"/>
        <v/>
      </c>
    </row>
    <row r="74" spans="1:8" s="32" customFormat="1" ht="24.75" customHeight="1">
      <c r="A74" s="187" t="s">
        <v>169</v>
      </c>
      <c r="B74" s="188"/>
      <c r="C74" s="189"/>
      <c r="D74" s="190"/>
      <c r="E74" s="301"/>
      <c r="F74" s="302">
        <f>SUM(F12:F73)</f>
        <v>0</v>
      </c>
    </row>
    <row r="75" spans="1:8" ht="15" customHeight="1">
      <c r="A75" s="115"/>
      <c r="B75" s="119"/>
      <c r="C75" s="118"/>
      <c r="D75" s="111"/>
      <c r="E75" s="290"/>
      <c r="F75" s="296"/>
    </row>
    <row r="76" spans="1:8" ht="18" customHeight="1">
      <c r="C76" s="208" t="s">
        <v>170</v>
      </c>
      <c r="D76" s="208"/>
      <c r="E76" s="290"/>
      <c r="F76" s="303"/>
      <c r="G76" s="208"/>
      <c r="H76" s="208"/>
    </row>
    <row r="77" spans="1:8" ht="19.5" customHeight="1">
      <c r="A77" s="16" t="s">
        <v>16</v>
      </c>
      <c r="B77" s="18"/>
      <c r="C77" s="245"/>
      <c r="D77" s="244"/>
      <c r="E77" s="292"/>
      <c r="F77" s="296"/>
    </row>
    <row r="78" spans="1:8" ht="22.5" customHeight="1">
      <c r="A78" s="53" t="s">
        <v>52</v>
      </c>
      <c r="B78" s="54" t="s">
        <v>53</v>
      </c>
      <c r="C78" s="82" t="s">
        <v>54</v>
      </c>
      <c r="D78" s="100">
        <v>1.95</v>
      </c>
      <c r="E78" s="294"/>
      <c r="F78" s="287" t="str">
        <f>IF(E78="","",D78*E78)</f>
        <v/>
      </c>
      <c r="G78" s="222"/>
      <c r="H78" s="222"/>
    </row>
    <row r="79" spans="1:8" ht="24" customHeight="1">
      <c r="A79" s="53" t="s">
        <v>512</v>
      </c>
      <c r="B79" s="53" t="s">
        <v>171</v>
      </c>
      <c r="C79" s="82" t="s">
        <v>172</v>
      </c>
      <c r="D79" s="80">
        <v>12.9</v>
      </c>
      <c r="E79" s="286"/>
      <c r="F79" s="287" t="str">
        <f>IF(E79="","",D79*E79)</f>
        <v/>
      </c>
    </row>
    <row r="80" spans="1:8" ht="33.75" customHeight="1">
      <c r="A80" s="53" t="s">
        <v>173</v>
      </c>
      <c r="B80" s="101" t="s">
        <v>174</v>
      </c>
      <c r="C80" s="82" t="s">
        <v>175</v>
      </c>
      <c r="D80" s="80">
        <v>4.9000000000000004</v>
      </c>
      <c r="E80" s="286"/>
      <c r="F80" s="287" t="str">
        <f>IF(E80="","",D80*E80)</f>
        <v/>
      </c>
    </row>
    <row r="81" spans="1:6" ht="33.75" customHeight="1">
      <c r="A81" s="53" t="s">
        <v>49</v>
      </c>
      <c r="B81" s="53" t="s">
        <v>50</v>
      </c>
      <c r="C81" s="82" t="s">
        <v>51</v>
      </c>
      <c r="D81" s="80">
        <v>9.9</v>
      </c>
      <c r="E81" s="286"/>
      <c r="F81" s="287" t="str">
        <f>IF(E81="","",D81*E81)</f>
        <v/>
      </c>
    </row>
    <row r="82" spans="1:6" ht="12.75" customHeight="1">
      <c r="A82" s="149"/>
      <c r="B82" s="149"/>
      <c r="C82" s="148"/>
      <c r="D82" s="147"/>
      <c r="E82" s="290"/>
      <c r="F82" s="304"/>
    </row>
    <row r="83" spans="1:6" ht="18.75" customHeight="1">
      <c r="A83" s="205" t="s">
        <v>176</v>
      </c>
      <c r="B83" s="206"/>
      <c r="C83" s="206"/>
      <c r="D83" s="206"/>
      <c r="E83" s="292"/>
      <c r="F83" s="305"/>
    </row>
    <row r="84" spans="1:6" ht="21.75" customHeight="1">
      <c r="A84" s="53" t="s">
        <v>177</v>
      </c>
      <c r="B84" s="54" t="s">
        <v>178</v>
      </c>
      <c r="C84" s="82" t="s">
        <v>179</v>
      </c>
      <c r="D84" s="228">
        <v>9.9</v>
      </c>
      <c r="E84" s="294"/>
      <c r="F84" s="298" t="str">
        <f>IF(E84="","",D84*E84)</f>
        <v/>
      </c>
    </row>
    <row r="85" spans="1:6" ht="13.5" customHeight="1">
      <c r="A85" s="86"/>
      <c r="B85" s="61"/>
      <c r="C85" s="87"/>
      <c r="D85" s="111"/>
      <c r="E85" s="290"/>
      <c r="F85" s="296"/>
    </row>
    <row r="86" spans="1:6" ht="15">
      <c r="A86" s="71" t="s">
        <v>180</v>
      </c>
      <c r="B86" s="5"/>
      <c r="C86" s="74"/>
      <c r="D86" s="176"/>
      <c r="E86" s="292"/>
      <c r="F86" s="297"/>
    </row>
    <row r="87" spans="1:6" ht="24.75" customHeight="1">
      <c r="A87" s="99" t="s">
        <v>513</v>
      </c>
      <c r="B87" s="99" t="s">
        <v>181</v>
      </c>
      <c r="C87" s="99" t="s">
        <v>182</v>
      </c>
      <c r="D87" s="80">
        <v>12.9</v>
      </c>
      <c r="E87" s="294"/>
      <c r="F87" s="298" t="str">
        <f>IF(E87="","",D87*E87)</f>
        <v/>
      </c>
    </row>
    <row r="88" spans="1:6" ht="34.5" customHeight="1">
      <c r="A88" s="99" t="s">
        <v>183</v>
      </c>
      <c r="B88" s="99" t="s">
        <v>184</v>
      </c>
      <c r="C88" s="110" t="s">
        <v>185</v>
      </c>
      <c r="D88" s="80">
        <v>5.9</v>
      </c>
      <c r="E88" s="286"/>
      <c r="F88" s="287" t="str">
        <f>IF(E88="","",D88*E88)</f>
        <v/>
      </c>
    </row>
    <row r="89" spans="1:6" ht="34.5" customHeight="1">
      <c r="A89" s="99" t="s">
        <v>93</v>
      </c>
      <c r="B89" s="99" t="s">
        <v>94</v>
      </c>
      <c r="C89" s="110" t="s">
        <v>95</v>
      </c>
      <c r="D89" s="80">
        <v>12</v>
      </c>
      <c r="E89" s="286"/>
      <c r="F89" s="287" t="str">
        <f>IF(E89="","",D89*E89)</f>
        <v/>
      </c>
    </row>
    <row r="90" spans="1:6" ht="33.75" customHeight="1">
      <c r="A90" s="110" t="s">
        <v>514</v>
      </c>
      <c r="B90" s="99" t="s">
        <v>186</v>
      </c>
      <c r="C90" s="110" t="s">
        <v>187</v>
      </c>
      <c r="D90" s="80">
        <v>3.9</v>
      </c>
      <c r="E90" s="286"/>
      <c r="F90" s="287" t="str">
        <f>IF(E90="","",D90*E90)</f>
        <v/>
      </c>
    </row>
    <row r="91" spans="1:6" ht="13.5" customHeight="1">
      <c r="A91" s="151"/>
      <c r="B91" s="151"/>
      <c r="C91" s="150"/>
      <c r="D91" s="147"/>
      <c r="E91" s="290"/>
      <c r="F91" s="304"/>
    </row>
    <row r="92" spans="1:6" ht="20.25" customHeight="1">
      <c r="A92" s="205" t="s">
        <v>176</v>
      </c>
      <c r="B92" s="206"/>
      <c r="C92" s="206"/>
      <c r="D92" s="206"/>
      <c r="E92" s="290"/>
      <c r="F92" s="306"/>
    </row>
    <row r="93" spans="1:6" ht="33.75" customHeight="1">
      <c r="A93" s="99" t="s">
        <v>188</v>
      </c>
      <c r="B93" s="99" t="s">
        <v>189</v>
      </c>
      <c r="C93" s="110" t="s">
        <v>190</v>
      </c>
      <c r="D93" s="80">
        <v>14.9</v>
      </c>
      <c r="E93" s="286"/>
      <c r="F93" s="287" t="str">
        <f t="shared" ref="F93:F98" si="4">IF(E93="","",D93*E93)</f>
        <v/>
      </c>
    </row>
    <row r="94" spans="1:6" ht="15">
      <c r="A94" s="72" t="s">
        <v>123</v>
      </c>
      <c r="B94" s="18"/>
      <c r="C94" s="73"/>
      <c r="D94" s="177"/>
      <c r="E94" s="290"/>
      <c r="F94" s="307" t="str">
        <f t="shared" si="4"/>
        <v/>
      </c>
    </row>
    <row r="95" spans="1:6" s="112" customFormat="1" ht="19.95" customHeight="1">
      <c r="A95" s="99" t="s">
        <v>191</v>
      </c>
      <c r="B95" s="99" t="s">
        <v>192</v>
      </c>
      <c r="C95" s="237" t="s">
        <v>193</v>
      </c>
      <c r="D95" s="224">
        <v>14.9</v>
      </c>
      <c r="E95" s="286"/>
      <c r="F95" s="289" t="str">
        <f t="shared" si="4"/>
        <v/>
      </c>
    </row>
    <row r="96" spans="1:6" s="112" customFormat="1" ht="18" customHeight="1">
      <c r="A96" s="99" t="s">
        <v>194</v>
      </c>
      <c r="B96" s="99" t="s">
        <v>195</v>
      </c>
      <c r="C96" s="110" t="s">
        <v>196</v>
      </c>
      <c r="D96" s="229">
        <v>8.9</v>
      </c>
      <c r="E96" s="294"/>
      <c r="F96" s="308" t="str">
        <f t="shared" si="4"/>
        <v/>
      </c>
    </row>
    <row r="97" spans="1:8" s="112" customFormat="1" ht="30.65" customHeight="1">
      <c r="A97" s="99" t="s">
        <v>133</v>
      </c>
      <c r="B97" s="99" t="s">
        <v>134</v>
      </c>
      <c r="C97" s="110" t="s">
        <v>135</v>
      </c>
      <c r="D97" s="80">
        <v>15</v>
      </c>
      <c r="E97" s="286"/>
      <c r="F97" s="287" t="str">
        <f t="shared" si="4"/>
        <v/>
      </c>
    </row>
    <row r="98" spans="1:8" s="112" customFormat="1" ht="35.25" customHeight="1">
      <c r="A98" s="53" t="s">
        <v>197</v>
      </c>
      <c r="B98" s="99" t="s">
        <v>198</v>
      </c>
      <c r="C98" s="110" t="s">
        <v>199</v>
      </c>
      <c r="D98" s="138">
        <v>3.9</v>
      </c>
      <c r="E98" s="286"/>
      <c r="F98" s="309" t="str">
        <f t="shared" si="4"/>
        <v/>
      </c>
      <c r="H98" s="215"/>
    </row>
    <row r="99" spans="1:8" ht="23.25" customHeight="1">
      <c r="A99" s="16" t="s">
        <v>145</v>
      </c>
      <c r="B99" s="5"/>
      <c r="C99" s="73"/>
      <c r="D99" s="238"/>
      <c r="E99" s="310"/>
      <c r="F99" s="311"/>
    </row>
    <row r="100" spans="1:8" ht="24" customHeight="1">
      <c r="A100" s="53" t="s">
        <v>200</v>
      </c>
      <c r="B100" s="99" t="s">
        <v>201</v>
      </c>
      <c r="C100" s="110" t="s">
        <v>202</v>
      </c>
      <c r="D100" s="100">
        <v>16.899999999999999</v>
      </c>
      <c r="E100" s="294"/>
      <c r="F100" s="298" t="str">
        <f>IF(E100="","",D100*E100)</f>
        <v/>
      </c>
    </row>
    <row r="101" spans="1:8" ht="22.5" customHeight="1">
      <c r="A101" s="53" t="s">
        <v>203</v>
      </c>
      <c r="B101" s="99" t="s">
        <v>204</v>
      </c>
      <c r="C101" s="110" t="s">
        <v>205</v>
      </c>
      <c r="D101" s="80">
        <v>8.9</v>
      </c>
      <c r="E101" s="286"/>
      <c r="F101" s="287" t="str">
        <f>IF(E101="","",D101*E101)</f>
        <v/>
      </c>
    </row>
    <row r="102" spans="1:8" ht="33.75" customHeight="1">
      <c r="A102" s="53" t="s">
        <v>160</v>
      </c>
      <c r="B102" s="99" t="s">
        <v>161</v>
      </c>
      <c r="C102" s="142" t="s">
        <v>206</v>
      </c>
      <c r="D102" s="109">
        <v>12</v>
      </c>
      <c r="E102" s="286"/>
      <c r="F102" s="287" t="str">
        <f>IF(E102="","",D102*E102)</f>
        <v/>
      </c>
    </row>
    <row r="103" spans="1:8" ht="33.75" customHeight="1">
      <c r="A103" s="53" t="s">
        <v>197</v>
      </c>
      <c r="B103" s="99" t="s">
        <v>198</v>
      </c>
      <c r="C103" s="110" t="s">
        <v>199</v>
      </c>
      <c r="D103" s="138">
        <v>3.9</v>
      </c>
      <c r="E103" s="286"/>
      <c r="F103" s="309" t="str">
        <f>IF(E103="","",D103*E103)</f>
        <v/>
      </c>
    </row>
    <row r="104" spans="1:8" s="32" customFormat="1" ht="24.75" customHeight="1">
      <c r="A104" s="187" t="s">
        <v>169</v>
      </c>
      <c r="B104" s="188"/>
      <c r="C104" s="189"/>
      <c r="D104" s="190"/>
      <c r="E104" s="312"/>
      <c r="F104" s="302">
        <f>SUM(F78:F103)</f>
        <v>0</v>
      </c>
    </row>
    <row r="105" spans="1:8" s="32" customFormat="1" ht="24.75" customHeight="1">
      <c r="A105" s="185"/>
      <c r="B105" s="119"/>
      <c r="C105" s="186"/>
      <c r="D105" s="191"/>
      <c r="E105" s="313"/>
      <c r="F105" s="296"/>
    </row>
    <row r="106" spans="1:8" ht="17.600000000000001">
      <c r="C106" s="209" t="s">
        <v>207</v>
      </c>
      <c r="D106" s="209"/>
      <c r="E106" s="314"/>
      <c r="F106" s="314"/>
      <c r="G106" s="209"/>
      <c r="H106" s="209"/>
    </row>
    <row r="107" spans="1:8" ht="15">
      <c r="A107" s="75"/>
      <c r="C107" s="70"/>
      <c r="E107" s="313"/>
      <c r="F107" s="296"/>
    </row>
    <row r="108" spans="1:8" ht="21" customHeight="1">
      <c r="A108" s="50" t="s">
        <v>208</v>
      </c>
      <c r="B108" s="54" t="s">
        <v>209</v>
      </c>
      <c r="C108" s="105" t="s">
        <v>210</v>
      </c>
      <c r="D108" s="80">
        <v>6.9</v>
      </c>
      <c r="E108" s="315"/>
      <c r="F108" s="287" t="str">
        <f>IF(E108="","",D108*E108)</f>
        <v/>
      </c>
    </row>
    <row r="109" spans="1:8" ht="21.75" customHeight="1">
      <c r="A109" s="50" t="s">
        <v>211</v>
      </c>
      <c r="B109" s="54" t="s">
        <v>212</v>
      </c>
      <c r="C109" s="105" t="s">
        <v>213</v>
      </c>
      <c r="D109" s="80">
        <v>5.9</v>
      </c>
      <c r="E109" s="315"/>
      <c r="F109" s="287" t="str">
        <f>IF(E109="","",D109*E109)</f>
        <v/>
      </c>
    </row>
    <row r="110" spans="1:8" ht="24.75" customHeight="1">
      <c r="A110" s="50" t="s">
        <v>214</v>
      </c>
      <c r="B110" s="54" t="s">
        <v>215</v>
      </c>
      <c r="C110" s="105" t="s">
        <v>216</v>
      </c>
      <c r="D110" s="80">
        <v>4.9000000000000004</v>
      </c>
      <c r="E110" s="315"/>
      <c r="F110" s="287" t="str">
        <f>IF(E110="","",D110*E110)</f>
        <v/>
      </c>
    </row>
    <row r="111" spans="1:8" s="32" customFormat="1" ht="24.75" customHeight="1">
      <c r="A111" s="187" t="s">
        <v>169</v>
      </c>
      <c r="B111" s="188"/>
      <c r="C111" s="189"/>
      <c r="D111" s="190"/>
      <c r="E111" s="301"/>
      <c r="F111" s="302">
        <f>SUM(F108:F110)</f>
        <v>0</v>
      </c>
    </row>
    <row r="112" spans="1:8" s="32" customFormat="1" ht="15" customHeight="1">
      <c r="A112" s="185"/>
      <c r="B112" s="119"/>
      <c r="C112" s="186"/>
      <c r="D112" s="191"/>
      <c r="E112" s="313"/>
      <c r="F112" s="296"/>
    </row>
    <row r="113" spans="1:8" s="145" customFormat="1" ht="21" customHeight="1">
      <c r="C113" s="21" t="s">
        <v>217</v>
      </c>
      <c r="D113" s="21"/>
      <c r="E113" s="313"/>
      <c r="F113" s="316"/>
      <c r="G113" s="21"/>
      <c r="H113" s="21"/>
    </row>
    <row r="114" spans="1:8" ht="17.600000000000001">
      <c r="A114" s="14" t="s">
        <v>218</v>
      </c>
      <c r="B114" s="21"/>
      <c r="C114" s="30"/>
      <c r="D114" s="235"/>
      <c r="E114" s="313"/>
      <c r="F114" s="296"/>
    </row>
    <row r="115" spans="1:8" ht="31.5" customHeight="1">
      <c r="A115" s="50" t="s">
        <v>219</v>
      </c>
      <c r="B115" s="50" t="s">
        <v>220</v>
      </c>
      <c r="C115" s="51" t="s">
        <v>221</v>
      </c>
      <c r="D115" s="80">
        <v>12</v>
      </c>
      <c r="E115" s="315"/>
      <c r="F115" s="287" t="str">
        <f>IF(E115="","",D115*E115)</f>
        <v/>
      </c>
    </row>
    <row r="116" spans="1:8" ht="18.75" customHeight="1">
      <c r="A116" s="50" t="s">
        <v>222</v>
      </c>
      <c r="B116" s="50" t="s">
        <v>223</v>
      </c>
      <c r="C116" s="51" t="s">
        <v>224</v>
      </c>
      <c r="D116" s="80">
        <v>12.9</v>
      </c>
      <c r="E116" s="315"/>
      <c r="F116" s="287" t="str">
        <f t="shared" ref="F116:F126" si="5">IF(E116="","",D116*E116)</f>
        <v/>
      </c>
    </row>
    <row r="117" spans="1:8" ht="11.25" customHeight="1">
      <c r="A117" s="60"/>
      <c r="B117" s="60"/>
      <c r="C117" s="88"/>
      <c r="D117" s="147"/>
      <c r="E117" s="317"/>
      <c r="F117" s="291" t="str">
        <f t="shared" si="5"/>
        <v/>
      </c>
    </row>
    <row r="118" spans="1:8" ht="15" customHeight="1">
      <c r="A118" s="277" t="s">
        <v>176</v>
      </c>
      <c r="B118" s="277"/>
      <c r="C118" s="277"/>
      <c r="D118" s="228"/>
      <c r="E118" s="318"/>
      <c r="F118" s="293" t="str">
        <f t="shared" si="5"/>
        <v/>
      </c>
    </row>
    <row r="119" spans="1:8" ht="38.25" customHeight="1">
      <c r="A119" s="50" t="s">
        <v>225</v>
      </c>
      <c r="B119" s="50" t="s">
        <v>226</v>
      </c>
      <c r="C119" s="51" t="s">
        <v>227</v>
      </c>
      <c r="D119" s="80">
        <v>5</v>
      </c>
      <c r="E119" s="315"/>
      <c r="F119" s="287" t="str">
        <f t="shared" si="5"/>
        <v/>
      </c>
    </row>
    <row r="120" spans="1:8" ht="11.25" customHeight="1">
      <c r="A120" s="60"/>
      <c r="B120" s="90"/>
      <c r="C120" s="88"/>
      <c r="D120" s="111"/>
      <c r="E120" s="313"/>
      <c r="F120" s="307" t="str">
        <f t="shared" si="5"/>
        <v/>
      </c>
    </row>
    <row r="121" spans="1:8" ht="19.5" customHeight="1">
      <c r="A121" s="76" t="s">
        <v>228</v>
      </c>
      <c r="B121" s="194"/>
      <c r="C121" s="193"/>
      <c r="D121" s="168"/>
      <c r="E121" s="318"/>
      <c r="F121" s="293" t="str">
        <f t="shared" si="5"/>
        <v/>
      </c>
    </row>
    <row r="122" spans="1:8" ht="30.75" customHeight="1">
      <c r="A122" s="83" t="s">
        <v>219</v>
      </c>
      <c r="B122" s="107" t="s">
        <v>220</v>
      </c>
      <c r="C122" s="105" t="s">
        <v>229</v>
      </c>
      <c r="D122" s="100">
        <v>12</v>
      </c>
      <c r="E122" s="319"/>
      <c r="F122" s="298" t="str">
        <f t="shared" si="5"/>
        <v/>
      </c>
    </row>
    <row r="123" spans="1:8" ht="21" customHeight="1">
      <c r="A123" s="83" t="s">
        <v>230</v>
      </c>
      <c r="B123" s="107" t="s">
        <v>231</v>
      </c>
      <c r="C123" s="105" t="s">
        <v>232</v>
      </c>
      <c r="D123" s="80">
        <v>15.9</v>
      </c>
      <c r="E123" s="315"/>
      <c r="F123" s="287" t="str">
        <f t="shared" si="5"/>
        <v/>
      </c>
      <c r="G123" s="92"/>
      <c r="H123" s="92"/>
    </row>
    <row r="124" spans="1:8" ht="18" customHeight="1">
      <c r="A124" s="115"/>
      <c r="B124" s="116"/>
      <c r="C124" s="118"/>
      <c r="D124" s="111"/>
      <c r="E124" s="313"/>
      <c r="F124" s="307" t="str">
        <f t="shared" si="5"/>
        <v/>
      </c>
    </row>
    <row r="125" spans="1:8" ht="16.5" customHeight="1">
      <c r="A125" s="282" t="s">
        <v>176</v>
      </c>
      <c r="B125" s="279"/>
      <c r="C125" s="279"/>
      <c r="D125" s="228"/>
      <c r="E125" s="318"/>
      <c r="F125" s="293" t="str">
        <f t="shared" si="5"/>
        <v/>
      </c>
      <c r="G125" s="92"/>
    </row>
    <row r="126" spans="1:8" ht="35.25" customHeight="1">
      <c r="A126" s="192" t="s">
        <v>225</v>
      </c>
      <c r="B126" s="239" t="s">
        <v>226</v>
      </c>
      <c r="C126" s="199" t="s">
        <v>233</v>
      </c>
      <c r="D126" s="100">
        <v>5</v>
      </c>
      <c r="E126" s="319"/>
      <c r="F126" s="298" t="str">
        <f t="shared" si="5"/>
        <v/>
      </c>
    </row>
    <row r="127" spans="1:8" s="32" customFormat="1" ht="24.75" customHeight="1">
      <c r="A127" s="187" t="s">
        <v>169</v>
      </c>
      <c r="B127" s="188"/>
      <c r="C127" s="189"/>
      <c r="D127" s="190"/>
      <c r="E127" s="312"/>
      <c r="F127" s="302">
        <f>SUM(F115:F126)</f>
        <v>0</v>
      </c>
    </row>
    <row r="128" spans="1:8" s="32" customFormat="1" ht="8.25" customHeight="1">
      <c r="A128" s="185"/>
      <c r="B128" s="119"/>
      <c r="C128" s="186"/>
      <c r="D128" s="191"/>
      <c r="E128" s="313"/>
      <c r="F128" s="296"/>
    </row>
    <row r="129" spans="1:8" ht="17.600000000000001">
      <c r="C129" s="207" t="s">
        <v>234</v>
      </c>
      <c r="D129" s="207"/>
      <c r="E129" s="320"/>
      <c r="F129" s="320"/>
      <c r="G129" s="207"/>
      <c r="H129" s="207"/>
    </row>
    <row r="130" spans="1:8" ht="17.600000000000001">
      <c r="C130" s="207" t="s">
        <v>235</v>
      </c>
      <c r="D130" s="207"/>
      <c r="E130" s="320"/>
      <c r="F130" s="320"/>
      <c r="G130" s="207"/>
      <c r="H130" s="207"/>
    </row>
    <row r="131" spans="1:8" ht="17.600000000000001">
      <c r="A131" s="91"/>
      <c r="B131" s="92"/>
      <c r="C131" s="93"/>
      <c r="D131" s="168"/>
      <c r="E131" s="313"/>
      <c r="F131" s="296"/>
    </row>
    <row r="132" spans="1:8" ht="18" customHeight="1">
      <c r="A132" s="53" t="s">
        <v>236</v>
      </c>
      <c r="B132" s="52" t="s">
        <v>237</v>
      </c>
      <c r="C132" s="82" t="s">
        <v>238</v>
      </c>
      <c r="D132" s="80">
        <v>6.9</v>
      </c>
      <c r="E132" s="315"/>
      <c r="F132" s="287" t="str">
        <f t="shared" ref="F132:F137" si="6">IF(E132="","",D132*E132)</f>
        <v/>
      </c>
    </row>
    <row r="133" spans="1:8" ht="31.5" customHeight="1">
      <c r="A133" s="50" t="s">
        <v>239</v>
      </c>
      <c r="B133" s="107" t="s">
        <v>240</v>
      </c>
      <c r="C133" s="51" t="s">
        <v>241</v>
      </c>
      <c r="D133" s="80">
        <v>6.9</v>
      </c>
      <c r="E133" s="315"/>
      <c r="F133" s="287" t="str">
        <f t="shared" si="6"/>
        <v/>
      </c>
    </row>
    <row r="134" spans="1:8" ht="32.25" customHeight="1">
      <c r="A134" s="50" t="s">
        <v>242</v>
      </c>
      <c r="B134" s="106" t="s">
        <v>243</v>
      </c>
      <c r="C134" s="51" t="s">
        <v>244</v>
      </c>
      <c r="D134" s="80">
        <v>6.9</v>
      </c>
      <c r="E134" s="315"/>
      <c r="F134" s="287" t="str">
        <f t="shared" si="6"/>
        <v/>
      </c>
    </row>
    <row r="135" spans="1:8" ht="31.5" customHeight="1">
      <c r="A135" s="54" t="s">
        <v>245</v>
      </c>
      <c r="B135" s="99" t="s">
        <v>246</v>
      </c>
      <c r="C135" s="51" t="s">
        <v>247</v>
      </c>
      <c r="D135" s="80">
        <v>6.9</v>
      </c>
      <c r="E135" s="315"/>
      <c r="F135" s="287" t="str">
        <f t="shared" si="6"/>
        <v/>
      </c>
    </row>
    <row r="136" spans="1:8" ht="31.5" customHeight="1">
      <c r="A136" s="50" t="s">
        <v>248</v>
      </c>
      <c r="B136" s="106" t="s">
        <v>249</v>
      </c>
      <c r="C136" s="51" t="s">
        <v>250</v>
      </c>
      <c r="D136" s="80">
        <v>12</v>
      </c>
      <c r="E136" s="315"/>
      <c r="F136" s="287" t="str">
        <f t="shared" si="6"/>
        <v/>
      </c>
    </row>
    <row r="137" spans="1:8" ht="31.5" customHeight="1">
      <c r="A137" s="50" t="s">
        <v>251</v>
      </c>
      <c r="B137" s="106" t="s">
        <v>252</v>
      </c>
      <c r="C137" s="51" t="s">
        <v>253</v>
      </c>
      <c r="D137" s="80">
        <v>9.9</v>
      </c>
      <c r="E137" s="315"/>
      <c r="F137" s="287" t="str">
        <f t="shared" si="6"/>
        <v/>
      </c>
    </row>
    <row r="138" spans="1:8" ht="31.5" customHeight="1">
      <c r="A138" s="50" t="s">
        <v>515</v>
      </c>
      <c r="B138" s="106" t="s">
        <v>254</v>
      </c>
      <c r="C138" s="51" t="s">
        <v>255</v>
      </c>
      <c r="D138" s="80">
        <v>6.9</v>
      </c>
      <c r="E138" s="315"/>
      <c r="F138" s="287" t="str">
        <f t="shared" ref="F138:F158" si="7">IF(E138="","",D138*E138)</f>
        <v/>
      </c>
    </row>
    <row r="139" spans="1:8" ht="31.5" customHeight="1">
      <c r="A139" s="50" t="s">
        <v>478</v>
      </c>
      <c r="B139" s="106" t="s">
        <v>481</v>
      </c>
      <c r="C139" s="51" t="s">
        <v>479</v>
      </c>
      <c r="D139" s="80">
        <v>9.99</v>
      </c>
      <c r="E139" s="315"/>
      <c r="F139" s="287" t="str">
        <f t="shared" si="7"/>
        <v/>
      </c>
    </row>
    <row r="140" spans="1:8" ht="31.5" customHeight="1">
      <c r="A140" s="50" t="s">
        <v>256</v>
      </c>
      <c r="B140" s="106" t="s">
        <v>257</v>
      </c>
      <c r="C140" s="51" t="s">
        <v>258</v>
      </c>
      <c r="D140" s="80">
        <v>12.9</v>
      </c>
      <c r="E140" s="315"/>
      <c r="F140" s="287" t="str">
        <f t="shared" si="7"/>
        <v/>
      </c>
    </row>
    <row r="141" spans="1:8" ht="31.5" customHeight="1">
      <c r="A141" s="53" t="s">
        <v>259</v>
      </c>
      <c r="B141" s="106" t="s">
        <v>260</v>
      </c>
      <c r="C141" s="82" t="s">
        <v>261</v>
      </c>
      <c r="D141" s="80">
        <v>8.9</v>
      </c>
      <c r="E141" s="315"/>
      <c r="F141" s="287" t="str">
        <f t="shared" si="7"/>
        <v/>
      </c>
    </row>
    <row r="142" spans="1:8" ht="21" customHeight="1">
      <c r="A142" s="53" t="s">
        <v>262</v>
      </c>
      <c r="B142" s="106" t="s">
        <v>263</v>
      </c>
      <c r="C142" s="82" t="s">
        <v>264</v>
      </c>
      <c r="D142" s="80">
        <v>7.9</v>
      </c>
      <c r="E142" s="315"/>
      <c r="F142" s="287" t="str">
        <f t="shared" si="7"/>
        <v/>
      </c>
    </row>
    <row r="143" spans="1:8" ht="48" customHeight="1">
      <c r="A143" s="137" t="s">
        <v>265</v>
      </c>
      <c r="B143" s="106" t="s">
        <v>266</v>
      </c>
      <c r="C143" s="51" t="s">
        <v>482</v>
      </c>
      <c r="D143" s="138">
        <v>18.899999999999999</v>
      </c>
      <c r="E143" s="315"/>
      <c r="F143" s="287" t="str">
        <f t="shared" si="7"/>
        <v/>
      </c>
    </row>
    <row r="144" spans="1:8" ht="24.75" customHeight="1">
      <c r="A144" s="137" t="s">
        <v>267</v>
      </c>
      <c r="B144" s="106" t="s">
        <v>268</v>
      </c>
      <c r="C144" s="51" t="s">
        <v>269</v>
      </c>
      <c r="D144" s="138">
        <v>6.9</v>
      </c>
      <c r="E144" s="315"/>
      <c r="F144" s="287" t="str">
        <f t="shared" si="7"/>
        <v/>
      </c>
    </row>
    <row r="145" spans="1:6" ht="24.75" customHeight="1">
      <c r="A145" s="137" t="s">
        <v>270</v>
      </c>
      <c r="B145" s="106" t="s">
        <v>271</v>
      </c>
      <c r="C145" s="51" t="s">
        <v>272</v>
      </c>
      <c r="D145" s="138">
        <v>9.9</v>
      </c>
      <c r="E145" s="315"/>
      <c r="F145" s="287" t="str">
        <f t="shared" si="7"/>
        <v/>
      </c>
    </row>
    <row r="146" spans="1:6" ht="33.75" customHeight="1">
      <c r="A146" s="137" t="s">
        <v>273</v>
      </c>
      <c r="B146" s="106" t="s">
        <v>274</v>
      </c>
      <c r="C146" s="51" t="s">
        <v>516</v>
      </c>
      <c r="D146" s="138">
        <v>11.9</v>
      </c>
      <c r="E146" s="315"/>
      <c r="F146" s="287" t="str">
        <f t="shared" si="7"/>
        <v/>
      </c>
    </row>
    <row r="147" spans="1:6" ht="33.75" customHeight="1">
      <c r="A147" s="137" t="s">
        <v>486</v>
      </c>
      <c r="B147" s="106" t="s">
        <v>487</v>
      </c>
      <c r="C147" s="51" t="s">
        <v>488</v>
      </c>
      <c r="D147" s="138">
        <v>11.9</v>
      </c>
      <c r="E147" s="315"/>
      <c r="F147" s="287" t="str">
        <f t="shared" si="7"/>
        <v/>
      </c>
    </row>
    <row r="148" spans="1:6" ht="31.5" customHeight="1">
      <c r="A148" s="137" t="s">
        <v>275</v>
      </c>
      <c r="B148" s="106" t="s">
        <v>276</v>
      </c>
      <c r="C148" s="51" t="s">
        <v>517</v>
      </c>
      <c r="D148" s="138">
        <v>12.9</v>
      </c>
      <c r="E148" s="315"/>
      <c r="F148" s="287" t="str">
        <f t="shared" si="7"/>
        <v/>
      </c>
    </row>
    <row r="149" spans="1:6" ht="24" customHeight="1">
      <c r="A149" s="137" t="s">
        <v>518</v>
      </c>
      <c r="B149" s="106" t="s">
        <v>519</v>
      </c>
      <c r="C149" s="51" t="s">
        <v>520</v>
      </c>
      <c r="D149" s="138">
        <v>16.899999999999999</v>
      </c>
      <c r="E149" s="315"/>
      <c r="F149" s="287" t="str">
        <f t="shared" si="7"/>
        <v/>
      </c>
    </row>
    <row r="150" spans="1:6" ht="23.25" customHeight="1">
      <c r="A150" s="54" t="s">
        <v>277</v>
      </c>
      <c r="B150" s="54" t="s">
        <v>278</v>
      </c>
      <c r="C150" s="106" t="s">
        <v>279</v>
      </c>
      <c r="D150" s="80">
        <v>5.9</v>
      </c>
      <c r="E150" s="315"/>
      <c r="F150" s="287" t="str">
        <f>IF(E150="","",D150*E150)</f>
        <v/>
      </c>
    </row>
    <row r="151" spans="1:6" ht="22.5" customHeight="1">
      <c r="A151" s="54" t="s">
        <v>280</v>
      </c>
      <c r="B151" s="99" t="s">
        <v>281</v>
      </c>
      <c r="C151" s="51" t="s">
        <v>282</v>
      </c>
      <c r="D151" s="80">
        <v>9.9</v>
      </c>
      <c r="E151" s="315"/>
      <c r="F151" s="287" t="str">
        <f>IF(E151="","",D151*E151)</f>
        <v/>
      </c>
    </row>
    <row r="152" spans="1:6" ht="26.25" customHeight="1">
      <c r="A152" s="83" t="s">
        <v>283</v>
      </c>
      <c r="B152" s="107" t="s">
        <v>284</v>
      </c>
      <c r="C152" s="105" t="s">
        <v>285</v>
      </c>
      <c r="D152" s="80">
        <v>8</v>
      </c>
      <c r="E152" s="315"/>
      <c r="F152" s="287" t="str">
        <f t="shared" si="7"/>
        <v/>
      </c>
    </row>
    <row r="153" spans="1:6" ht="33.75" customHeight="1">
      <c r="A153" s="83" t="s">
        <v>508</v>
      </c>
      <c r="B153" s="269" t="s">
        <v>510</v>
      </c>
      <c r="C153" s="268" t="s">
        <v>509</v>
      </c>
      <c r="D153" s="109">
        <v>19.899999999999999</v>
      </c>
      <c r="E153" s="321"/>
      <c r="F153" s="289" t="str">
        <f t="shared" si="7"/>
        <v/>
      </c>
    </row>
    <row r="154" spans="1:6" ht="33.75" customHeight="1">
      <c r="A154" s="83" t="s">
        <v>521</v>
      </c>
      <c r="B154" s="107" t="s">
        <v>522</v>
      </c>
      <c r="C154" s="105" t="s">
        <v>531</v>
      </c>
      <c r="D154" s="80">
        <v>18</v>
      </c>
      <c r="E154" s="315"/>
      <c r="F154" s="287" t="str">
        <f t="shared" si="7"/>
        <v/>
      </c>
    </row>
    <row r="155" spans="1:6" ht="33.75" customHeight="1">
      <c r="A155" s="192" t="s">
        <v>523</v>
      </c>
      <c r="B155" s="239" t="s">
        <v>524</v>
      </c>
      <c r="C155" s="199" t="s">
        <v>532</v>
      </c>
      <c r="D155" s="100">
        <v>18</v>
      </c>
      <c r="E155" s="319"/>
      <c r="F155" s="298" t="str">
        <f t="shared" si="7"/>
        <v/>
      </c>
    </row>
    <row r="156" spans="1:6" ht="33.75" customHeight="1">
      <c r="A156" s="83" t="s">
        <v>525</v>
      </c>
      <c r="B156" s="107" t="s">
        <v>526</v>
      </c>
      <c r="C156" s="105" t="s">
        <v>533</v>
      </c>
      <c r="D156" s="80">
        <v>18</v>
      </c>
      <c r="E156" s="315"/>
      <c r="F156" s="287" t="str">
        <f t="shared" si="7"/>
        <v/>
      </c>
    </row>
    <row r="157" spans="1:6" ht="14.25" customHeight="1">
      <c r="A157" s="60"/>
      <c r="B157" s="119"/>
      <c r="C157" s="88"/>
      <c r="D157" s="111"/>
      <c r="E157" s="313"/>
      <c r="F157" s="307" t="str">
        <f t="shared" si="7"/>
        <v/>
      </c>
    </row>
    <row r="158" spans="1:6" ht="35.25" customHeight="1">
      <c r="A158" s="278" t="s">
        <v>286</v>
      </c>
      <c r="B158" s="279"/>
      <c r="C158" s="279"/>
      <c r="D158" s="228"/>
      <c r="E158" s="318"/>
      <c r="F158" s="293" t="str">
        <f t="shared" si="7"/>
        <v/>
      </c>
    </row>
    <row r="159" spans="1:6" ht="33" customHeight="1">
      <c r="A159" s="153" t="s">
        <v>287</v>
      </c>
      <c r="B159" s="248" t="s">
        <v>288</v>
      </c>
      <c r="C159" s="247" t="s">
        <v>483</v>
      </c>
      <c r="D159" s="109">
        <v>24.9</v>
      </c>
      <c r="E159" s="321"/>
      <c r="F159" s="308" t="str">
        <f>IF(E159="","",D159*E159)</f>
        <v/>
      </c>
    </row>
    <row r="160" spans="1:6" ht="28.2" customHeight="1">
      <c r="A160" s="246" t="s">
        <v>289</v>
      </c>
      <c r="B160" s="198" t="s">
        <v>290</v>
      </c>
      <c r="C160" s="220" t="s">
        <v>291</v>
      </c>
      <c r="D160" s="100">
        <v>14.9</v>
      </c>
      <c r="E160" s="319"/>
      <c r="F160" s="298" t="str">
        <f>IF(E160="","",D160*E160)</f>
        <v/>
      </c>
    </row>
    <row r="161" spans="1:6" ht="33.75" customHeight="1">
      <c r="A161" s="54" t="s">
        <v>292</v>
      </c>
      <c r="B161" s="106" t="s">
        <v>293</v>
      </c>
      <c r="C161" s="51" t="s">
        <v>294</v>
      </c>
      <c r="D161" s="80">
        <v>15</v>
      </c>
      <c r="E161" s="315"/>
      <c r="F161" s="287" t="str">
        <f>IF(E161="","",D161*E161)</f>
        <v/>
      </c>
    </row>
    <row r="162" spans="1:6" ht="22.5" customHeight="1">
      <c r="A162" s="149"/>
      <c r="B162" s="155"/>
      <c r="C162" s="148"/>
      <c r="D162" s="111"/>
      <c r="E162" s="313"/>
      <c r="F162" s="296"/>
    </row>
    <row r="163" spans="1:6" ht="23.25" customHeight="1">
      <c r="A163" s="158" t="s">
        <v>176</v>
      </c>
      <c r="B163" s="152"/>
      <c r="C163" s="152"/>
      <c r="D163" s="236"/>
      <c r="E163" s="313"/>
      <c r="F163" s="322"/>
    </row>
    <row r="164" spans="1:6" ht="24" customHeight="1">
      <c r="A164" s="54" t="s">
        <v>295</v>
      </c>
      <c r="B164" s="52" t="s">
        <v>296</v>
      </c>
      <c r="C164" s="51" t="s">
        <v>297</v>
      </c>
      <c r="D164" s="80">
        <v>9.9</v>
      </c>
      <c r="E164" s="315"/>
      <c r="F164" s="287" t="str">
        <f t="shared" ref="F164:F173" si="8">IF(E164="","",D164*E164)</f>
        <v/>
      </c>
    </row>
    <row r="165" spans="1:6" ht="36" customHeight="1">
      <c r="A165" s="50" t="s">
        <v>298</v>
      </c>
      <c r="B165" s="106" t="s">
        <v>299</v>
      </c>
      <c r="C165" s="51" t="s">
        <v>300</v>
      </c>
      <c r="D165" s="80">
        <v>10</v>
      </c>
      <c r="E165" s="315"/>
      <c r="F165" s="287" t="str">
        <f t="shared" si="8"/>
        <v/>
      </c>
    </row>
    <row r="166" spans="1:6" ht="36" customHeight="1">
      <c r="A166" s="50" t="s">
        <v>301</v>
      </c>
      <c r="B166" s="106" t="s">
        <v>302</v>
      </c>
      <c r="C166" s="51" t="s">
        <v>303</v>
      </c>
      <c r="D166" s="80">
        <v>10</v>
      </c>
      <c r="E166" s="315"/>
      <c r="F166" s="287" t="str">
        <f t="shared" si="8"/>
        <v/>
      </c>
    </row>
    <row r="167" spans="1:6" ht="36" customHeight="1">
      <c r="A167" s="53" t="s">
        <v>304</v>
      </c>
      <c r="B167" s="106" t="s">
        <v>305</v>
      </c>
      <c r="C167" s="82" t="s">
        <v>306</v>
      </c>
      <c r="D167" s="80">
        <v>12</v>
      </c>
      <c r="E167" s="315"/>
      <c r="F167" s="287" t="str">
        <f t="shared" si="8"/>
        <v/>
      </c>
    </row>
    <row r="168" spans="1:6" ht="22.5" customHeight="1">
      <c r="A168" s="53" t="s">
        <v>307</v>
      </c>
      <c r="B168" s="156" t="s">
        <v>308</v>
      </c>
      <c r="C168" s="82" t="s">
        <v>309</v>
      </c>
      <c r="D168" s="80">
        <v>19.899999999999999</v>
      </c>
      <c r="E168" s="315"/>
      <c r="F168" s="287" t="str">
        <f t="shared" si="8"/>
        <v/>
      </c>
    </row>
    <row r="169" spans="1:6" ht="38.25" customHeight="1">
      <c r="A169" s="53" t="s">
        <v>310</v>
      </c>
      <c r="B169" s="99" t="s">
        <v>311</v>
      </c>
      <c r="C169" s="82" t="s">
        <v>312</v>
      </c>
      <c r="D169" s="80">
        <v>5</v>
      </c>
      <c r="E169" s="315"/>
      <c r="F169" s="287" t="str">
        <f t="shared" si="8"/>
        <v/>
      </c>
    </row>
    <row r="170" spans="1:6" ht="44.5" customHeight="1">
      <c r="A170" s="53" t="s">
        <v>313</v>
      </c>
      <c r="B170" s="99" t="s">
        <v>314</v>
      </c>
      <c r="C170" s="82" t="s">
        <v>315</v>
      </c>
      <c r="D170" s="80">
        <v>5</v>
      </c>
      <c r="E170" s="315"/>
      <c r="F170" s="287" t="str">
        <f t="shared" si="8"/>
        <v/>
      </c>
    </row>
    <row r="171" spans="1:6" ht="48" customHeight="1">
      <c r="A171" s="53" t="s">
        <v>316</v>
      </c>
      <c r="B171" s="99" t="s">
        <v>317</v>
      </c>
      <c r="C171" s="82" t="s">
        <v>318</v>
      </c>
      <c r="D171" s="80">
        <v>5</v>
      </c>
      <c r="E171" s="315"/>
      <c r="F171" s="287" t="str">
        <f t="shared" si="8"/>
        <v/>
      </c>
    </row>
    <row r="172" spans="1:6" ht="24" customHeight="1">
      <c r="A172" s="53" t="s">
        <v>319</v>
      </c>
      <c r="B172" s="99" t="s">
        <v>320</v>
      </c>
      <c r="C172" s="82" t="s">
        <v>321</v>
      </c>
      <c r="D172" s="80">
        <v>10</v>
      </c>
      <c r="E172" s="315"/>
      <c r="F172" s="287" t="str">
        <f t="shared" si="8"/>
        <v/>
      </c>
    </row>
    <row r="173" spans="1:6" ht="23.25" customHeight="1">
      <c r="A173" s="53" t="s">
        <v>322</v>
      </c>
      <c r="B173" s="99" t="s">
        <v>323</v>
      </c>
      <c r="C173" s="82" t="s">
        <v>324</v>
      </c>
      <c r="D173" s="80">
        <v>12.9</v>
      </c>
      <c r="E173" s="315"/>
      <c r="F173" s="287" t="str">
        <f t="shared" si="8"/>
        <v/>
      </c>
    </row>
    <row r="174" spans="1:6" ht="30" customHeight="1">
      <c r="A174" s="53" t="s">
        <v>325</v>
      </c>
      <c r="B174" s="99" t="s">
        <v>326</v>
      </c>
      <c r="C174" s="82" t="s">
        <v>484</v>
      </c>
      <c r="D174" s="80">
        <v>10</v>
      </c>
      <c r="E174" s="315"/>
      <c r="F174" s="287" t="str">
        <f>IF(E174="","",D174*E174)</f>
        <v/>
      </c>
    </row>
    <row r="175" spans="1:6" ht="26.25" customHeight="1">
      <c r="A175" s="50" t="s">
        <v>327</v>
      </c>
      <c r="B175" s="106" t="s">
        <v>328</v>
      </c>
      <c r="C175" s="51" t="s">
        <v>329</v>
      </c>
      <c r="D175" s="80">
        <v>12.9</v>
      </c>
      <c r="E175" s="315"/>
      <c r="F175" s="287" t="str">
        <f>IF(E175="","",D175*E175)</f>
        <v/>
      </c>
    </row>
    <row r="176" spans="1:6" s="32" customFormat="1" ht="24.75" customHeight="1">
      <c r="A176" s="187" t="s">
        <v>169</v>
      </c>
      <c r="B176" s="188"/>
      <c r="C176" s="189"/>
      <c r="D176" s="190"/>
      <c r="E176" s="312"/>
      <c r="F176" s="302">
        <f>SUM(F132:F175)</f>
        <v>0</v>
      </c>
    </row>
    <row r="177" spans="1:8" ht="11.25" customHeight="1">
      <c r="A177" s="115"/>
      <c r="B177" s="116"/>
      <c r="C177" s="118"/>
      <c r="D177" s="111"/>
      <c r="E177" s="313"/>
      <c r="F177" s="296"/>
    </row>
    <row r="178" spans="1:8" ht="36" customHeight="1">
      <c r="C178" s="23" t="s">
        <v>330</v>
      </c>
      <c r="D178" s="23"/>
      <c r="E178" s="323"/>
      <c r="F178" s="323"/>
      <c r="G178" s="23"/>
      <c r="H178" s="23"/>
    </row>
    <row r="179" spans="1:8" ht="6.75" customHeight="1">
      <c r="A179" s="10"/>
      <c r="B179" s="29"/>
      <c r="C179" s="30"/>
      <c r="E179" s="313"/>
      <c r="F179" s="296"/>
    </row>
    <row r="180" spans="1:8" ht="19.5" customHeight="1">
      <c r="A180" s="50" t="s">
        <v>331</v>
      </c>
      <c r="B180" s="54" t="s">
        <v>332</v>
      </c>
      <c r="C180" s="51" t="s">
        <v>333</v>
      </c>
      <c r="D180" s="80">
        <v>7.9</v>
      </c>
      <c r="E180" s="315"/>
      <c r="F180" s="287" t="str">
        <f t="shared" ref="F180:F189" si="9">IF(E180="","",D180*E180)</f>
        <v/>
      </c>
    </row>
    <row r="181" spans="1:8" ht="19.5" customHeight="1">
      <c r="A181" s="50" t="s">
        <v>334</v>
      </c>
      <c r="B181" s="54" t="s">
        <v>335</v>
      </c>
      <c r="C181" s="51" t="s">
        <v>336</v>
      </c>
      <c r="D181" s="80">
        <v>4.9000000000000004</v>
      </c>
      <c r="E181" s="315"/>
      <c r="F181" s="287" t="str">
        <f t="shared" si="9"/>
        <v/>
      </c>
    </row>
    <row r="182" spans="1:8" ht="22.5" customHeight="1">
      <c r="A182" s="50" t="s">
        <v>337</v>
      </c>
      <c r="B182" s="54" t="s">
        <v>338</v>
      </c>
      <c r="C182" s="51" t="s">
        <v>339</v>
      </c>
      <c r="D182" s="80">
        <v>6.9</v>
      </c>
      <c r="E182" s="315"/>
      <c r="F182" s="287" t="str">
        <f t="shared" si="9"/>
        <v/>
      </c>
    </row>
    <row r="183" spans="1:8" ht="24.75" customHeight="1">
      <c r="A183" s="50" t="s">
        <v>340</v>
      </c>
      <c r="B183" s="54" t="s">
        <v>341</v>
      </c>
      <c r="C183" s="51" t="s">
        <v>342</v>
      </c>
      <c r="D183" s="80">
        <v>7.9</v>
      </c>
      <c r="E183" s="315"/>
      <c r="F183" s="287" t="str">
        <f t="shared" si="9"/>
        <v/>
      </c>
    </row>
    <row r="184" spans="1:8" ht="20.25" customHeight="1">
      <c r="A184" s="50" t="s">
        <v>343</v>
      </c>
      <c r="B184" s="54" t="s">
        <v>344</v>
      </c>
      <c r="C184" s="51" t="s">
        <v>345</v>
      </c>
      <c r="D184" s="80">
        <v>9.9</v>
      </c>
      <c r="E184" s="315"/>
      <c r="F184" s="287" t="str">
        <f t="shared" si="9"/>
        <v/>
      </c>
    </row>
    <row r="185" spans="1:8" ht="28.3">
      <c r="A185" s="56" t="s">
        <v>346</v>
      </c>
      <c r="B185" s="54" t="s">
        <v>347</v>
      </c>
      <c r="C185" s="57" t="s">
        <v>348</v>
      </c>
      <c r="D185" s="108">
        <v>9.9</v>
      </c>
      <c r="E185" s="315"/>
      <c r="F185" s="287" t="str">
        <f t="shared" si="9"/>
        <v/>
      </c>
    </row>
    <row r="186" spans="1:8" ht="31.5" customHeight="1">
      <c r="A186" s="137" t="s">
        <v>349</v>
      </c>
      <c r="B186" s="54" t="s">
        <v>350</v>
      </c>
      <c r="C186" s="51" t="s">
        <v>351</v>
      </c>
      <c r="D186" s="138">
        <v>9.9499999999999993</v>
      </c>
      <c r="E186" s="315"/>
      <c r="F186" s="287" t="str">
        <f t="shared" si="9"/>
        <v/>
      </c>
    </row>
    <row r="187" spans="1:8" ht="28.3">
      <c r="A187" s="51" t="s">
        <v>527</v>
      </c>
      <c r="B187" s="54" t="s">
        <v>352</v>
      </c>
      <c r="C187" s="51" t="s">
        <v>353</v>
      </c>
      <c r="D187" s="80">
        <v>9.9</v>
      </c>
      <c r="E187" s="315"/>
      <c r="F187" s="287" t="str">
        <f t="shared" si="9"/>
        <v/>
      </c>
    </row>
    <row r="188" spans="1:8" ht="30.75" customHeight="1">
      <c r="A188" s="50" t="s">
        <v>354</v>
      </c>
      <c r="B188" s="54" t="s">
        <v>355</v>
      </c>
      <c r="C188" s="51" t="s">
        <v>356</v>
      </c>
      <c r="D188" s="80">
        <v>12.9</v>
      </c>
      <c r="E188" s="315"/>
      <c r="F188" s="287" t="str">
        <f t="shared" si="9"/>
        <v/>
      </c>
    </row>
    <row r="189" spans="1:8" ht="46.5" customHeight="1">
      <c r="A189" s="50" t="s">
        <v>357</v>
      </c>
      <c r="B189" s="106" t="s">
        <v>358</v>
      </c>
      <c r="C189" s="51" t="s">
        <v>359</v>
      </c>
      <c r="D189" s="80">
        <v>12.9</v>
      </c>
      <c r="E189" s="315"/>
      <c r="F189" s="287" t="str">
        <f t="shared" si="9"/>
        <v/>
      </c>
    </row>
    <row r="190" spans="1:8" ht="10.5" customHeight="1">
      <c r="A190" s="60"/>
      <c r="B190" s="119"/>
      <c r="C190" s="88"/>
      <c r="D190" s="111"/>
      <c r="E190" s="313"/>
      <c r="F190" s="307"/>
    </row>
    <row r="191" spans="1:8" ht="33" customHeight="1">
      <c r="A191" s="280" t="s">
        <v>360</v>
      </c>
      <c r="B191" s="281"/>
      <c r="C191" s="281"/>
      <c r="D191" s="111"/>
      <c r="E191" s="313"/>
      <c r="F191" s="296"/>
    </row>
    <row r="192" spans="1:8" ht="34.5" customHeight="1">
      <c r="A192" s="51" t="s">
        <v>361</v>
      </c>
      <c r="B192" s="54" t="s">
        <v>362</v>
      </c>
      <c r="C192" s="51" t="s">
        <v>534</v>
      </c>
      <c r="D192" s="80">
        <v>19.899999999999999</v>
      </c>
      <c r="E192" s="315"/>
      <c r="F192" s="287" t="str">
        <f>IF(E192="","",D192*E192)</f>
        <v/>
      </c>
    </row>
    <row r="193" spans="1:8" s="32" customFormat="1" ht="24.75" customHeight="1">
      <c r="A193" s="187" t="s">
        <v>169</v>
      </c>
      <c r="B193" s="188"/>
      <c r="C193" s="189"/>
      <c r="D193" s="190"/>
      <c r="E193" s="312"/>
      <c r="F193" s="302">
        <f>SUM(F180:F192)</f>
        <v>0</v>
      </c>
    </row>
    <row r="194" spans="1:8" ht="36" customHeight="1">
      <c r="A194" s="88"/>
      <c r="B194" s="61"/>
      <c r="C194" s="88"/>
      <c r="D194" s="111"/>
      <c r="E194" s="313"/>
      <c r="F194" s="296"/>
    </row>
    <row r="195" spans="1:8" s="143" customFormat="1" ht="162.9" customHeight="1">
      <c r="A195" s="283" t="s">
        <v>363</v>
      </c>
      <c r="B195" s="284"/>
      <c r="C195" s="284"/>
      <c r="D195" s="284"/>
      <c r="E195" s="324"/>
      <c r="F195" s="324"/>
    </row>
    <row r="196" spans="1:8" ht="19.3" customHeight="1">
      <c r="A196" s="144"/>
      <c r="B196" s="116"/>
      <c r="C196" s="118"/>
      <c r="D196" s="111"/>
      <c r="E196" s="313"/>
      <c r="F196" s="296"/>
    </row>
    <row r="197" spans="1:8" s="15" customFormat="1" ht="22.2" customHeight="1">
      <c r="C197" s="204" t="s">
        <v>364</v>
      </c>
      <c r="D197" s="204"/>
      <c r="E197" s="325"/>
      <c r="F197" s="325"/>
      <c r="G197" s="204"/>
      <c r="H197" s="204"/>
    </row>
    <row r="198" spans="1:8" ht="22.5" customHeight="1">
      <c r="A198" s="77" t="s">
        <v>16</v>
      </c>
      <c r="B198" s="143"/>
      <c r="C198" s="5"/>
      <c r="D198" s="178"/>
      <c r="E198" s="313"/>
      <c r="F198" s="296"/>
    </row>
    <row r="199" spans="1:8" ht="39" customHeight="1">
      <c r="A199" s="153" t="s">
        <v>528</v>
      </c>
      <c r="B199" s="154" t="s">
        <v>365</v>
      </c>
      <c r="C199" s="105" t="s">
        <v>366</v>
      </c>
      <c r="D199" s="97">
        <v>15.25</v>
      </c>
      <c r="E199" s="315"/>
      <c r="F199" s="287" t="str">
        <f>IF(E199="","",D199*E199)</f>
        <v/>
      </c>
      <c r="G199" s="92"/>
      <c r="H199" s="92"/>
    </row>
    <row r="200" spans="1:8" ht="20.25" customHeight="1">
      <c r="A200" s="113" t="s">
        <v>64</v>
      </c>
      <c r="B200" s="114"/>
      <c r="C200" s="117"/>
      <c r="D200" s="243"/>
      <c r="E200" s="326"/>
      <c r="F200" s="327"/>
    </row>
    <row r="201" spans="1:8" ht="36" customHeight="1">
      <c r="A201" s="83" t="s">
        <v>367</v>
      </c>
      <c r="B201" s="107" t="s">
        <v>368</v>
      </c>
      <c r="C201" s="105" t="s">
        <v>369</v>
      </c>
      <c r="D201" s="100">
        <v>21.5</v>
      </c>
      <c r="E201" s="319"/>
      <c r="F201" s="298" t="str">
        <f>IF(E201="","",D201*E201)</f>
        <v/>
      </c>
    </row>
    <row r="202" spans="1:8" ht="28.3">
      <c r="A202" s="83" t="s">
        <v>529</v>
      </c>
      <c r="B202" s="107" t="s">
        <v>370</v>
      </c>
      <c r="C202" s="105" t="s">
        <v>371</v>
      </c>
      <c r="D202" s="80">
        <v>8.5</v>
      </c>
      <c r="E202" s="315"/>
      <c r="F202" s="287" t="str">
        <f>IF(E202="","",D202*E202)</f>
        <v/>
      </c>
    </row>
    <row r="203" spans="1:8" ht="20.25" customHeight="1">
      <c r="A203" s="113" t="s">
        <v>123</v>
      </c>
      <c r="B203" s="114"/>
      <c r="C203" s="118"/>
      <c r="E203" s="313"/>
      <c r="F203" s="307"/>
    </row>
    <row r="204" spans="1:8" ht="34.5" customHeight="1">
      <c r="A204" s="106" t="s">
        <v>372</v>
      </c>
      <c r="B204" s="107" t="s">
        <v>373</v>
      </c>
      <c r="C204" s="105" t="s">
        <v>374</v>
      </c>
      <c r="D204" s="80">
        <v>20.95</v>
      </c>
      <c r="E204" s="315"/>
      <c r="F204" s="287" t="str">
        <f>IF(E204="","",D204*E204)</f>
        <v/>
      </c>
    </row>
    <row r="205" spans="1:8" ht="28.3">
      <c r="A205" s="106" t="s">
        <v>530</v>
      </c>
      <c r="B205" s="107" t="s">
        <v>375</v>
      </c>
      <c r="C205" s="105" t="s">
        <v>376</v>
      </c>
      <c r="D205" s="80">
        <v>11.25</v>
      </c>
      <c r="E205" s="315"/>
      <c r="F205" s="287" t="str">
        <f>IF(E205="","",D205*E205)</f>
        <v/>
      </c>
    </row>
    <row r="206" spans="1:8" ht="28.3">
      <c r="A206" s="106" t="s">
        <v>377</v>
      </c>
      <c r="B206" s="107" t="s">
        <v>378</v>
      </c>
      <c r="C206" s="105" t="s">
        <v>379</v>
      </c>
      <c r="D206" s="80">
        <v>8.9</v>
      </c>
      <c r="E206" s="315"/>
      <c r="F206" s="287" t="str">
        <f>IF(E206="","",D206*E206)</f>
        <v/>
      </c>
    </row>
    <row r="207" spans="1:8" ht="28.3">
      <c r="A207" s="106" t="s">
        <v>380</v>
      </c>
      <c r="B207" s="107" t="s">
        <v>381</v>
      </c>
      <c r="C207" s="105" t="s">
        <v>382</v>
      </c>
      <c r="D207" s="80">
        <v>9.9</v>
      </c>
      <c r="E207" s="315"/>
      <c r="F207" s="287" t="str">
        <f>IF(E207="","",D207*E207)</f>
        <v/>
      </c>
    </row>
    <row r="208" spans="1:8" ht="28.3">
      <c r="A208" s="106" t="s">
        <v>383</v>
      </c>
      <c r="B208" s="107" t="s">
        <v>384</v>
      </c>
      <c r="C208" s="105" t="s">
        <v>385</v>
      </c>
      <c r="D208" s="80">
        <v>9.9</v>
      </c>
      <c r="E208" s="315"/>
      <c r="F208" s="287" t="str">
        <f>IF(E208="","",D208*E208)</f>
        <v/>
      </c>
    </row>
    <row r="209" spans="1:8" ht="21" customHeight="1">
      <c r="A209" s="69" t="s">
        <v>386</v>
      </c>
      <c r="B209" s="1"/>
      <c r="C209" s="70"/>
      <c r="D209" s="242"/>
      <c r="E209" s="326"/>
      <c r="F209" s="327"/>
    </row>
    <row r="210" spans="1:8" ht="36" customHeight="1">
      <c r="A210" s="50" t="s">
        <v>387</v>
      </c>
      <c r="B210" s="52" t="s">
        <v>388</v>
      </c>
      <c r="C210" s="51" t="s">
        <v>389</v>
      </c>
      <c r="D210" s="100">
        <v>22.95</v>
      </c>
      <c r="E210" s="319"/>
      <c r="F210" s="298" t="str">
        <f>IF(E210="","",D210*E210)</f>
        <v/>
      </c>
    </row>
    <row r="211" spans="1:8" ht="39" customHeight="1">
      <c r="A211" s="50" t="s">
        <v>390</v>
      </c>
      <c r="B211" s="52" t="s">
        <v>391</v>
      </c>
      <c r="C211" s="51" t="s">
        <v>392</v>
      </c>
      <c r="D211" s="80">
        <v>9.25</v>
      </c>
      <c r="E211" s="315"/>
      <c r="F211" s="287" t="str">
        <f>IF(E211="","",D211*E211)</f>
        <v/>
      </c>
    </row>
    <row r="212" spans="1:8" s="32" customFormat="1" ht="24.75" customHeight="1">
      <c r="A212" s="187" t="s">
        <v>169</v>
      </c>
      <c r="B212" s="188"/>
      <c r="C212" s="189"/>
      <c r="D212" s="190"/>
      <c r="E212" s="312"/>
      <c r="F212" s="302">
        <f>SUM(F199:F211)</f>
        <v>0</v>
      </c>
    </row>
    <row r="213" spans="1:8" ht="21" customHeight="1">
      <c r="A213" s="60"/>
      <c r="B213" s="60"/>
      <c r="C213" s="28"/>
      <c r="D213" s="162"/>
      <c r="E213" s="313"/>
      <c r="F213" s="296"/>
    </row>
    <row r="214" spans="1:8" ht="20.25" customHeight="1">
      <c r="C214" s="23" t="s">
        <v>393</v>
      </c>
      <c r="D214" s="23"/>
      <c r="E214" s="323"/>
      <c r="F214" s="323"/>
      <c r="G214" s="23"/>
      <c r="H214" s="23"/>
    </row>
    <row r="215" spans="1:8" ht="15">
      <c r="A215" s="22" t="s">
        <v>16</v>
      </c>
      <c r="B215" s="22"/>
      <c r="C215" s="11"/>
      <c r="E215" s="313"/>
      <c r="F215" s="296"/>
    </row>
    <row r="216" spans="1:8" ht="36" customHeight="1">
      <c r="A216" s="50" t="s">
        <v>394</v>
      </c>
      <c r="B216" s="52" t="s">
        <v>395</v>
      </c>
      <c r="C216" s="51" t="s">
        <v>396</v>
      </c>
      <c r="D216" s="80">
        <v>18.95</v>
      </c>
      <c r="E216" s="315"/>
      <c r="F216" s="287" t="str">
        <f>IF(E216="","",D216*E216)</f>
        <v/>
      </c>
    </row>
    <row r="217" spans="1:8" ht="30.75" customHeight="1">
      <c r="A217" s="54" t="s">
        <v>397</v>
      </c>
      <c r="B217" s="78" t="s">
        <v>398</v>
      </c>
      <c r="C217" s="51" t="s">
        <v>399</v>
      </c>
      <c r="D217" s="179">
        <v>9.5</v>
      </c>
      <c r="E217" s="315"/>
      <c r="F217" s="287" t="str">
        <f>IF(E217="","",D217*E217)</f>
        <v/>
      </c>
    </row>
    <row r="218" spans="1:8" ht="22.5" customHeight="1">
      <c r="A218" s="275" t="s">
        <v>176</v>
      </c>
      <c r="B218" s="276"/>
      <c r="C218" s="276"/>
      <c r="D218" s="233"/>
      <c r="E218" s="326"/>
      <c r="F218" s="328"/>
    </row>
    <row r="219" spans="1:8" ht="36" customHeight="1">
      <c r="A219" s="54" t="s">
        <v>400</v>
      </c>
      <c r="B219" s="203" t="s">
        <v>401</v>
      </c>
      <c r="C219" s="201" t="s">
        <v>402</v>
      </c>
      <c r="D219" s="241">
        <v>32.950000000000003</v>
      </c>
      <c r="E219" s="319"/>
      <c r="F219" s="287" t="str">
        <f>IF(E219="","",D219*E219)</f>
        <v/>
      </c>
    </row>
    <row r="220" spans="1:8">
      <c r="A220" s="61"/>
      <c r="B220" s="61"/>
      <c r="C220" s="28"/>
      <c r="D220" s="240"/>
      <c r="E220" s="317"/>
      <c r="F220" s="307"/>
    </row>
    <row r="221" spans="1:8" ht="15">
      <c r="A221" s="77" t="s">
        <v>64</v>
      </c>
      <c r="B221" s="77"/>
      <c r="C221" s="193"/>
      <c r="D221" s="219"/>
      <c r="E221" s="318"/>
      <c r="F221" s="293"/>
    </row>
    <row r="222" spans="1:8" ht="28.3">
      <c r="A222" s="54" t="s">
        <v>403</v>
      </c>
      <c r="B222" s="78" t="s">
        <v>404</v>
      </c>
      <c r="C222" s="217" t="s">
        <v>405</v>
      </c>
      <c r="D222" s="216">
        <v>18.95</v>
      </c>
      <c r="E222" s="319"/>
      <c r="F222" s="298" t="str">
        <f>IF(E222="","",D222*E222)</f>
        <v/>
      </c>
    </row>
    <row r="223" spans="1:8" ht="33" customHeight="1">
      <c r="A223" s="54" t="s">
        <v>406</v>
      </c>
      <c r="B223" s="78" t="s">
        <v>407</v>
      </c>
      <c r="C223" s="51" t="s">
        <v>408</v>
      </c>
      <c r="D223" s="179">
        <v>10.5</v>
      </c>
      <c r="E223" s="315"/>
      <c r="F223" s="289" t="str">
        <f>IF(E223="","",D223*E223)</f>
        <v/>
      </c>
    </row>
    <row r="224" spans="1:8" ht="26.25" customHeight="1">
      <c r="A224" s="275" t="s">
        <v>176</v>
      </c>
      <c r="B224" s="276"/>
      <c r="C224" s="276"/>
      <c r="D224" s="162"/>
      <c r="E224" s="313"/>
      <c r="F224" s="307"/>
    </row>
    <row r="225" spans="1:8" ht="36.75" customHeight="1">
      <c r="A225" s="54" t="s">
        <v>400</v>
      </c>
      <c r="B225" s="203" t="s">
        <v>401</v>
      </c>
      <c r="C225" s="201" t="s">
        <v>402</v>
      </c>
      <c r="D225" s="179">
        <v>32.950000000000003</v>
      </c>
      <c r="E225" s="315"/>
      <c r="F225" s="289" t="str">
        <f>IF(E225="","",D225*E225)</f>
        <v/>
      </c>
    </row>
    <row r="226" spans="1:8">
      <c r="A226" s="4"/>
      <c r="B226" s="1"/>
      <c r="C226" s="136"/>
      <c r="E226" s="313"/>
      <c r="F226" s="307"/>
    </row>
    <row r="227" spans="1:8" ht="20.25" customHeight="1">
      <c r="A227" s="22" t="s">
        <v>123</v>
      </c>
      <c r="B227" s="1"/>
      <c r="C227" s="232"/>
      <c r="D227" s="219"/>
      <c r="E227" s="318"/>
      <c r="F227" s="293"/>
    </row>
    <row r="228" spans="1:8" ht="30" customHeight="1">
      <c r="A228" s="54" t="s">
        <v>409</v>
      </c>
      <c r="B228" s="54" t="s">
        <v>410</v>
      </c>
      <c r="C228" s="217" t="s">
        <v>411</v>
      </c>
      <c r="D228" s="216">
        <v>18.95</v>
      </c>
      <c r="E228" s="319"/>
      <c r="F228" s="298" t="str">
        <f>IF(E228="","",D228*E228)</f>
        <v/>
      </c>
    </row>
    <row r="229" spans="1:8" ht="30" customHeight="1">
      <c r="A229" s="54" t="s">
        <v>412</v>
      </c>
      <c r="B229" s="54" t="s">
        <v>413</v>
      </c>
      <c r="C229" s="46" t="s">
        <v>414</v>
      </c>
      <c r="D229" s="179">
        <v>10.5</v>
      </c>
      <c r="E229" s="315"/>
      <c r="F229" s="287" t="str">
        <f>IF(E229="","",D229*E229)</f>
        <v/>
      </c>
    </row>
    <row r="230" spans="1:8" ht="35.25" customHeight="1">
      <c r="A230" s="157" t="s">
        <v>415</v>
      </c>
      <c r="B230" s="54" t="s">
        <v>416</v>
      </c>
      <c r="C230" s="51" t="s">
        <v>417</v>
      </c>
      <c r="D230" s="200">
        <v>4.25</v>
      </c>
      <c r="E230" s="315"/>
      <c r="F230" s="287" t="str">
        <f>IF(E230="","",D230*E230)</f>
        <v/>
      </c>
    </row>
    <row r="231" spans="1:8" ht="35.25" customHeight="1">
      <c r="A231" s="54" t="s">
        <v>418</v>
      </c>
      <c r="B231" s="101" t="s">
        <v>419</v>
      </c>
      <c r="C231" s="201" t="s">
        <v>420</v>
      </c>
      <c r="D231" s="218">
        <v>4.25</v>
      </c>
      <c r="E231" s="315"/>
      <c r="F231" s="287" t="str">
        <f>IF(E231="","",D231*E231)</f>
        <v/>
      </c>
    </row>
    <row r="232" spans="1:8" s="15" customFormat="1" ht="21" customHeight="1">
      <c r="A232" s="61"/>
      <c r="B232" s="61"/>
      <c r="C232" s="28"/>
      <c r="D232" s="169"/>
      <c r="E232" s="313"/>
      <c r="F232" s="307"/>
    </row>
    <row r="233" spans="1:8" s="15" customFormat="1" ht="15">
      <c r="A233" s="77" t="s">
        <v>421</v>
      </c>
      <c r="B233" s="77"/>
      <c r="C233" s="193"/>
      <c r="D233" s="219"/>
      <c r="E233" s="318"/>
      <c r="F233" s="293"/>
    </row>
    <row r="234" spans="1:8" s="15" customFormat="1" ht="36.75" customHeight="1">
      <c r="A234" s="54" t="s">
        <v>422</v>
      </c>
      <c r="B234" s="54" t="s">
        <v>423</v>
      </c>
      <c r="C234" s="220" t="s">
        <v>424</v>
      </c>
      <c r="D234" s="216">
        <v>18.95</v>
      </c>
      <c r="E234" s="315"/>
      <c r="F234" s="287" t="str">
        <f>IF(E234="","",D234*E234)</f>
        <v/>
      </c>
    </row>
    <row r="235" spans="1:8" s="15" customFormat="1" ht="39.75" customHeight="1">
      <c r="A235" s="51" t="s">
        <v>485</v>
      </c>
      <c r="B235" s="54" t="s">
        <v>425</v>
      </c>
      <c r="C235" s="51" t="s">
        <v>426</v>
      </c>
      <c r="D235" s="179">
        <v>10.5</v>
      </c>
      <c r="E235" s="315"/>
      <c r="F235" s="287" t="str">
        <f>IF(E235="","",D235*E235)</f>
        <v/>
      </c>
    </row>
    <row r="236" spans="1:8" s="15" customFormat="1" ht="39.75" customHeight="1">
      <c r="A236" s="54" t="s">
        <v>427</v>
      </c>
      <c r="B236" s="54" t="s">
        <v>428</v>
      </c>
      <c r="C236" s="51" t="s">
        <v>429</v>
      </c>
      <c r="D236" s="179">
        <v>4.25</v>
      </c>
      <c r="E236" s="315"/>
      <c r="F236" s="287" t="str">
        <f>IF(E236="","",D236*E236)</f>
        <v/>
      </c>
    </row>
    <row r="237" spans="1:8" s="32" customFormat="1" ht="41.25" customHeight="1">
      <c r="A237" s="54" t="s">
        <v>430</v>
      </c>
      <c r="B237" s="54" t="s">
        <v>431</v>
      </c>
      <c r="C237" s="51" t="s">
        <v>432</v>
      </c>
      <c r="D237" s="179">
        <v>4.25</v>
      </c>
      <c r="E237" s="315"/>
      <c r="F237" s="287" t="str">
        <f>IF(E237="","",D237*E237)</f>
        <v/>
      </c>
    </row>
    <row r="238" spans="1:8" s="15" customFormat="1" ht="30.75" customHeight="1">
      <c r="A238" s="187" t="s">
        <v>169</v>
      </c>
      <c r="B238" s="188"/>
      <c r="C238" s="189"/>
      <c r="D238" s="190"/>
      <c r="E238" s="312"/>
      <c r="F238" s="302">
        <f>SUM(F216:F237)</f>
        <v>0</v>
      </c>
    </row>
    <row r="239" spans="1:8" ht="15" customHeight="1">
      <c r="A239" s="13"/>
      <c r="B239" s="13"/>
      <c r="C239" s="3"/>
      <c r="D239" s="207"/>
      <c r="E239" s="320"/>
      <c r="F239" s="320"/>
      <c r="G239" s="207"/>
      <c r="H239" s="207"/>
    </row>
    <row r="240" spans="1:8" ht="32.25" customHeight="1">
      <c r="C240" s="207" t="s">
        <v>433</v>
      </c>
      <c r="E240" s="313"/>
      <c r="F240" s="296"/>
    </row>
    <row r="241" spans="1:10" ht="14.25" customHeight="1">
      <c r="A241" s="22" t="s">
        <v>16</v>
      </c>
      <c r="B241" s="22"/>
      <c r="C241" s="221"/>
      <c r="D241" s="168"/>
      <c r="E241" s="318"/>
      <c r="F241" s="293"/>
    </row>
    <row r="242" spans="1:10" ht="48" customHeight="1">
      <c r="A242" s="50" t="s">
        <v>434</v>
      </c>
      <c r="B242" s="52" t="s">
        <v>435</v>
      </c>
      <c r="C242" s="220" t="s">
        <v>436</v>
      </c>
      <c r="D242" s="100">
        <v>10.4</v>
      </c>
      <c r="E242" s="315"/>
      <c r="F242" s="329" t="str">
        <f>IF(E242="","",D242*E242)</f>
        <v/>
      </c>
    </row>
    <row r="243" spans="1:10">
      <c r="B243" s="7"/>
      <c r="C243" s="222"/>
      <c r="D243" s="223"/>
      <c r="E243" s="317"/>
      <c r="F243" s="291"/>
    </row>
    <row r="244" spans="1:10" ht="18.75" customHeight="1">
      <c r="A244" s="22" t="s">
        <v>64</v>
      </c>
      <c r="B244" s="226"/>
      <c r="C244" s="227"/>
      <c r="D244" s="228"/>
      <c r="E244" s="318"/>
      <c r="F244" s="293"/>
    </row>
    <row r="245" spans="1:10" ht="48.75" customHeight="1">
      <c r="A245" s="50" t="s">
        <v>437</v>
      </c>
      <c r="B245" s="225" t="s">
        <v>438</v>
      </c>
      <c r="C245" s="220" t="s">
        <v>439</v>
      </c>
      <c r="D245" s="179">
        <v>10.4</v>
      </c>
      <c r="E245" s="321"/>
      <c r="F245" s="330" t="str">
        <f>IF(E245="","",D245*E245)</f>
        <v/>
      </c>
    </row>
    <row r="246" spans="1:10">
      <c r="A246" s="60"/>
      <c r="B246" s="81"/>
      <c r="C246" s="81"/>
      <c r="E246" s="313"/>
      <c r="F246" s="296"/>
    </row>
    <row r="247" spans="1:10" ht="24.75" customHeight="1">
      <c r="A247" s="22" t="s">
        <v>123</v>
      </c>
      <c r="B247" s="79"/>
      <c r="C247" s="230"/>
      <c r="D247" s="228"/>
      <c r="E247" s="318"/>
      <c r="F247" s="293"/>
    </row>
    <row r="248" spans="1:10" ht="45.75" customHeight="1">
      <c r="A248" s="50" t="s">
        <v>440</v>
      </c>
      <c r="B248" s="52" t="s">
        <v>441</v>
      </c>
      <c r="C248" s="231" t="s">
        <v>442</v>
      </c>
      <c r="D248" s="80">
        <v>11.4</v>
      </c>
      <c r="E248" s="321"/>
      <c r="F248" s="289" t="str">
        <f>IF(E248="","",D248*E248)</f>
        <v/>
      </c>
    </row>
    <row r="249" spans="1:10" ht="15.75" customHeight="1">
      <c r="A249" s="60"/>
      <c r="B249" s="81"/>
      <c r="C249" s="28"/>
      <c r="D249" s="180"/>
      <c r="E249" s="313"/>
      <c r="F249" s="331"/>
    </row>
    <row r="250" spans="1:10" ht="19.5" customHeight="1">
      <c r="A250" s="22" t="s">
        <v>145</v>
      </c>
      <c r="B250" s="79"/>
      <c r="C250" s="227"/>
      <c r="D250" s="228"/>
      <c r="E250" s="318"/>
      <c r="F250" s="293"/>
    </row>
    <row r="251" spans="1:10" s="32" customFormat="1" ht="54" customHeight="1">
      <c r="A251" s="50" t="s">
        <v>443</v>
      </c>
      <c r="B251" s="52" t="s">
        <v>444</v>
      </c>
      <c r="C251" s="220" t="s">
        <v>445</v>
      </c>
      <c r="D251" s="100">
        <v>11.4</v>
      </c>
      <c r="E251" s="321"/>
      <c r="F251" s="289" t="str">
        <f>IF(E251="","",D251*E251)</f>
        <v/>
      </c>
    </row>
    <row r="252" spans="1:10" ht="19.5" customHeight="1">
      <c r="A252" s="187" t="s">
        <v>169</v>
      </c>
      <c r="B252" s="188"/>
      <c r="C252" s="189"/>
      <c r="D252" s="190"/>
      <c r="E252" s="312"/>
      <c r="F252" s="302">
        <f>SUM(F242:F251)</f>
        <v>0</v>
      </c>
    </row>
    <row r="253" spans="1:10" s="49" customFormat="1" ht="18.75" customHeight="1">
      <c r="A253" s="60"/>
      <c r="B253" s="81"/>
      <c r="C253" s="28"/>
      <c r="D253" s="111"/>
      <c r="E253" s="332"/>
      <c r="F253" s="333"/>
    </row>
    <row r="254" spans="1:10" s="265" customFormat="1" ht="25.5" customHeight="1">
      <c r="A254" s="264" t="s">
        <v>446</v>
      </c>
      <c r="C254" s="266"/>
      <c r="D254" s="267"/>
      <c r="E254" s="334"/>
      <c r="F254" s="335"/>
    </row>
    <row r="255" spans="1:10" s="161" customFormat="1" ht="21.75" customHeight="1">
      <c r="A255" s="60"/>
      <c r="B255" s="81"/>
      <c r="C255" s="28"/>
      <c r="D255" s="213"/>
      <c r="E255" s="336"/>
      <c r="F255" s="336"/>
    </row>
    <row r="256" spans="1:10" s="253" customFormat="1" ht="39" customHeight="1">
      <c r="A256" s="161"/>
      <c r="B256" s="249"/>
      <c r="C256" s="250" t="s">
        <v>447</v>
      </c>
      <c r="D256" s="251"/>
      <c r="E256" s="318"/>
      <c r="F256" s="337"/>
      <c r="G256" s="61"/>
      <c r="H256" s="252"/>
      <c r="I256" s="252"/>
      <c r="J256" s="252"/>
    </row>
    <row r="257" spans="1:10" s="253" customFormat="1" ht="33.75" customHeight="1">
      <c r="A257" s="54" t="s">
        <v>535</v>
      </c>
      <c r="B257" s="51" t="s">
        <v>536</v>
      </c>
      <c r="C257" s="51" t="s">
        <v>537</v>
      </c>
      <c r="D257" s="138">
        <v>6.9</v>
      </c>
      <c r="E257" s="315"/>
      <c r="F257" s="338" t="str">
        <f t="shared" ref="F257:F263" si="10">IF(E257="","",D257*E257)</f>
        <v/>
      </c>
      <c r="G257" s="61"/>
      <c r="H257" s="252"/>
      <c r="I257" s="252"/>
      <c r="J257" s="252"/>
    </row>
    <row r="258" spans="1:10" s="253" customFormat="1" ht="30.75" customHeight="1">
      <c r="A258" s="54" t="s">
        <v>538</v>
      </c>
      <c r="B258" s="51" t="s">
        <v>539</v>
      </c>
      <c r="C258" s="51" t="s">
        <v>540</v>
      </c>
      <c r="D258" s="138">
        <v>6.9</v>
      </c>
      <c r="E258" s="315"/>
      <c r="F258" s="338" t="str">
        <f>IF(E258="","",D258*E258)</f>
        <v/>
      </c>
      <c r="G258" s="61"/>
      <c r="H258" s="252"/>
      <c r="I258" s="252"/>
      <c r="J258" s="252"/>
    </row>
    <row r="259" spans="1:10" s="253" customFormat="1" ht="33.75" customHeight="1">
      <c r="A259" s="54" t="s">
        <v>541</v>
      </c>
      <c r="B259" s="51" t="s">
        <v>542</v>
      </c>
      <c r="C259" s="51" t="s">
        <v>543</v>
      </c>
      <c r="D259" s="138">
        <v>6.9</v>
      </c>
      <c r="E259" s="315"/>
      <c r="F259" s="338" t="str">
        <f>IF(E259="","",D259*E259)</f>
        <v/>
      </c>
      <c r="G259" s="61"/>
      <c r="H259" s="252"/>
      <c r="I259" s="252"/>
      <c r="J259" s="252"/>
    </row>
    <row r="260" spans="1:10" s="253" customFormat="1" ht="30.75" customHeight="1">
      <c r="A260" s="54" t="s">
        <v>544</v>
      </c>
      <c r="B260" s="51" t="s">
        <v>545</v>
      </c>
      <c r="C260" s="51" t="s">
        <v>546</v>
      </c>
      <c r="D260" s="138">
        <v>6.9</v>
      </c>
      <c r="E260" s="315"/>
      <c r="F260" s="338" t="str">
        <f>IF(E260="","",D260*E260)</f>
        <v/>
      </c>
      <c r="G260" s="61"/>
      <c r="H260" s="252"/>
      <c r="I260" s="252"/>
      <c r="J260" s="252"/>
    </row>
    <row r="261" spans="1:10" s="253" customFormat="1" ht="24" customHeight="1">
      <c r="A261" s="54" t="s">
        <v>547</v>
      </c>
      <c r="B261" s="51" t="s">
        <v>548</v>
      </c>
      <c r="C261" s="51" t="s">
        <v>549</v>
      </c>
      <c r="D261" s="138">
        <v>19.95</v>
      </c>
      <c r="E261" s="315"/>
      <c r="F261" s="338" t="str">
        <f>IF(E261="","",D261*E261)</f>
        <v/>
      </c>
      <c r="G261" s="61"/>
      <c r="H261" s="252"/>
      <c r="I261" s="252"/>
      <c r="J261" s="252"/>
    </row>
    <row r="262" spans="1:10" s="253" customFormat="1" ht="23.25" customHeight="1">
      <c r="A262" s="54" t="s">
        <v>550</v>
      </c>
      <c r="B262" s="51" t="s">
        <v>551</v>
      </c>
      <c r="C262" s="51" t="s">
        <v>552</v>
      </c>
      <c r="D262" s="138">
        <v>15</v>
      </c>
      <c r="E262" s="315"/>
      <c r="F262" s="338" t="str">
        <f>IF(E262="","",D262*E262)</f>
        <v/>
      </c>
      <c r="G262" s="61"/>
      <c r="H262" s="252"/>
      <c r="I262" s="252"/>
      <c r="J262" s="252"/>
    </row>
    <row r="263" spans="1:10" ht="19.5" customHeight="1">
      <c r="A263" s="54" t="s">
        <v>553</v>
      </c>
      <c r="B263" s="51" t="s">
        <v>554</v>
      </c>
      <c r="C263" s="51" t="s">
        <v>555</v>
      </c>
      <c r="D263" s="138">
        <v>11.9</v>
      </c>
      <c r="E263" s="315"/>
      <c r="F263" s="338" t="str">
        <f t="shared" si="10"/>
        <v/>
      </c>
      <c r="G263" s="157"/>
      <c r="H263" s="191"/>
      <c r="I263" s="254"/>
      <c r="J263" s="255"/>
    </row>
    <row r="264" spans="1:10" ht="34.5" customHeight="1">
      <c r="A264" s="54"/>
      <c r="B264" s="270" t="s">
        <v>556</v>
      </c>
      <c r="C264" s="51" t="s">
        <v>557</v>
      </c>
      <c r="D264" s="138">
        <v>15</v>
      </c>
      <c r="E264" s="315"/>
      <c r="F264" s="338" t="str">
        <f>IF(E264="","",D264*E264)</f>
        <v/>
      </c>
      <c r="G264" s="61"/>
      <c r="H264" s="191"/>
      <c r="I264" s="254"/>
      <c r="J264" s="255"/>
    </row>
    <row r="265" spans="1:10">
      <c r="A265" s="258" t="s">
        <v>169</v>
      </c>
      <c r="B265" s="258"/>
      <c r="C265" s="259"/>
      <c r="D265" s="190"/>
      <c r="E265" s="190"/>
      <c r="F265" s="212">
        <f>SUM(F257:F264)</f>
        <v>0</v>
      </c>
    </row>
    <row r="266" spans="1:10">
      <c r="A266" s="210" t="s">
        <v>448</v>
      </c>
      <c r="B266" s="188"/>
      <c r="C266" s="189"/>
      <c r="D266" s="211"/>
      <c r="E266" s="190"/>
      <c r="F266" s="196">
        <f>SUM(F74,F104,F111,F127,F176,F193,F212,F238,F252,F265)</f>
        <v>0</v>
      </c>
    </row>
    <row r="267" spans="1:10" ht="8.15" customHeight="1">
      <c r="A267" s="159"/>
      <c r="B267" s="202"/>
      <c r="C267" s="202"/>
      <c r="D267" s="165"/>
    </row>
    <row r="268" spans="1:10" ht="15">
      <c r="A268" s="31" t="s">
        <v>449</v>
      </c>
      <c r="B268" s="159"/>
      <c r="C268" s="159"/>
      <c r="D268" s="166"/>
    </row>
    <row r="269" spans="1:10" ht="15">
      <c r="A269" s="31" t="s">
        <v>450</v>
      </c>
      <c r="B269" s="159"/>
      <c r="C269" s="159"/>
      <c r="D269" s="166"/>
    </row>
    <row r="270" spans="1:10" ht="15">
      <c r="A270" s="31" t="s">
        <v>451</v>
      </c>
      <c r="B270" s="159"/>
      <c r="C270" s="159"/>
      <c r="D270" s="164"/>
    </row>
    <row r="271" spans="1:10" ht="15">
      <c r="A271" s="31"/>
      <c r="B271" s="159"/>
      <c r="C271" s="159"/>
      <c r="D271" s="164"/>
    </row>
    <row r="272" spans="1:10">
      <c r="A272" s="31"/>
      <c r="B272" s="2"/>
      <c r="C272" s="33"/>
      <c r="D272" s="164"/>
    </row>
    <row r="273" spans="1:4" ht="22.5" customHeight="1">
      <c r="A273" s="31"/>
      <c r="B273" s="32"/>
      <c r="C273" s="33"/>
      <c r="D273" s="164"/>
    </row>
    <row r="274" spans="1:4">
      <c r="A274" s="31"/>
      <c r="B274" s="32"/>
      <c r="C274" s="33"/>
      <c r="D274" s="164"/>
    </row>
    <row r="275" spans="1:4">
      <c r="A275" s="31"/>
      <c r="B275" s="32"/>
      <c r="C275" s="33"/>
      <c r="D275" s="164"/>
    </row>
    <row r="276" spans="1:4" ht="30.75" customHeight="1">
      <c r="A276" s="31"/>
      <c r="B276" s="32"/>
      <c r="C276" s="33"/>
      <c r="D276" s="164"/>
    </row>
    <row r="277" spans="1:4">
      <c r="A277" s="146" t="s">
        <v>452</v>
      </c>
      <c r="B277" s="32"/>
      <c r="C277" s="33"/>
      <c r="D277" s="164"/>
    </row>
    <row r="278" spans="1:4">
      <c r="A278" s="31" t="s">
        <v>453</v>
      </c>
      <c r="B278" s="32"/>
      <c r="C278" s="33"/>
      <c r="D278" s="164"/>
    </row>
    <row r="279" spans="1:4">
      <c r="A279" s="31" t="s">
        <v>454</v>
      </c>
      <c r="B279" s="32"/>
      <c r="C279" s="33"/>
      <c r="D279" s="162"/>
    </row>
    <row r="280" spans="1:4">
      <c r="A280" s="31" t="s">
        <v>455</v>
      </c>
      <c r="B280" s="32"/>
      <c r="C280" s="33"/>
      <c r="D280" s="162"/>
    </row>
    <row r="281" spans="1:4">
      <c r="A281" s="31"/>
      <c r="B281" s="32"/>
      <c r="C281" s="33"/>
      <c r="D281" s="162"/>
    </row>
    <row r="282" spans="1:4">
      <c r="A282" s="31"/>
      <c r="B282" s="32"/>
      <c r="C282" s="33"/>
      <c r="D282" s="162"/>
    </row>
    <row r="283" spans="1:4">
      <c r="A283" s="31"/>
      <c r="B283" s="32"/>
      <c r="C283" s="33"/>
      <c r="D283" s="162"/>
    </row>
    <row r="284" spans="1:4">
      <c r="A284" s="31"/>
      <c r="B284" s="32"/>
      <c r="C284" s="33"/>
      <c r="D284" s="162"/>
    </row>
    <row r="285" spans="1:4">
      <c r="A285" s="31"/>
      <c r="B285" s="32"/>
      <c r="C285" s="33"/>
      <c r="D285" s="162"/>
    </row>
    <row r="286" spans="1:4">
      <c r="A286" s="31"/>
      <c r="B286" s="32"/>
      <c r="C286" s="33"/>
      <c r="D286" s="162"/>
    </row>
    <row r="287" spans="1:4" ht="24" customHeight="1">
      <c r="A287" s="31"/>
      <c r="B287" s="32"/>
      <c r="C287" s="33"/>
      <c r="D287" s="162"/>
    </row>
    <row r="288" spans="1:4" ht="97.5" customHeight="1">
      <c r="A288" s="5"/>
      <c r="B288" s="32"/>
      <c r="C288" s="33"/>
      <c r="D288" s="178"/>
    </row>
    <row r="289" spans="1:6">
      <c r="A289" s="5"/>
      <c r="B289" s="5"/>
      <c r="C289" s="5"/>
      <c r="D289" s="178"/>
    </row>
    <row r="290" spans="1:6">
      <c r="B290" s="5"/>
      <c r="C290" s="5"/>
    </row>
    <row r="291" spans="1:6" s="271" customFormat="1" ht="67.5" customHeight="1">
      <c r="B291" s="274" t="s">
        <v>558</v>
      </c>
      <c r="C291" s="274"/>
      <c r="D291" s="273"/>
      <c r="E291" s="272"/>
      <c r="F291" s="195"/>
    </row>
    <row r="292" spans="1:6" ht="41.25" customHeight="1">
      <c r="A292" s="5"/>
      <c r="B292" s="49" t="s">
        <v>456</v>
      </c>
      <c r="C292" s="5"/>
      <c r="D292" s="178"/>
    </row>
    <row r="293" spans="1:6" ht="15.45">
      <c r="A293" s="47"/>
      <c r="B293" s="49" t="s">
        <v>457</v>
      </c>
      <c r="C293" s="5"/>
      <c r="D293" s="178"/>
    </row>
    <row r="294" spans="1:6" ht="18" customHeight="1">
      <c r="A294" s="49"/>
      <c r="B294" s="49" t="s">
        <v>559</v>
      </c>
      <c r="D294" s="178"/>
    </row>
    <row r="295" spans="1:6">
      <c r="B295" s="5"/>
      <c r="C295" s="5"/>
    </row>
    <row r="296" spans="1:6" ht="15">
      <c r="B296" s="48"/>
      <c r="C296" s="5"/>
    </row>
    <row r="297" spans="1:6">
      <c r="B297" s="5"/>
      <c r="C297" s="5"/>
    </row>
    <row r="298" spans="1:6">
      <c r="B298" s="5"/>
      <c r="C298" s="5"/>
    </row>
    <row r="299" spans="1:6">
      <c r="B299" s="5"/>
      <c r="C299" s="5"/>
    </row>
    <row r="300" spans="1:6" ht="92.25" customHeight="1">
      <c r="B300" s="5"/>
      <c r="C300" s="5"/>
    </row>
    <row r="301" spans="1:6" ht="12.9">
      <c r="A301" s="65" t="s">
        <v>458</v>
      </c>
      <c r="B301" s="5"/>
      <c r="C301" s="5"/>
      <c r="D301" s="65" t="s">
        <v>459</v>
      </c>
      <c r="E301" s="260"/>
      <c r="F301" s="261"/>
    </row>
    <row r="302" spans="1:6" ht="12.9">
      <c r="A302" s="65" t="s">
        <v>460</v>
      </c>
      <c r="B302" s="263"/>
      <c r="C302" s="65"/>
      <c r="D302" s="65" t="s">
        <v>461</v>
      </c>
      <c r="E302" s="262"/>
      <c r="F302" s="261"/>
    </row>
    <row r="303" spans="1:6" s="160" customFormat="1" ht="62.25" customHeight="1">
      <c r="A303" s="7"/>
      <c r="B303" s="5"/>
      <c r="C303" s="5"/>
      <c r="D303" s="169"/>
      <c r="E303" s="5"/>
      <c r="F303" s="195"/>
    </row>
    <row r="304" spans="1:6" ht="15.45">
      <c r="A304" s="160"/>
      <c r="C304" s="5"/>
      <c r="D304" s="181"/>
      <c r="E304" s="184"/>
    </row>
    <row r="305" spans="1:4">
      <c r="A305" s="65"/>
      <c r="C305" s="5"/>
    </row>
    <row r="306" spans="1:4" ht="15.45">
      <c r="A306" s="65"/>
      <c r="D306" s="167"/>
    </row>
    <row r="307" spans="1:4" ht="15.45">
      <c r="A307" s="67"/>
      <c r="B307" s="160"/>
      <c r="C307" s="160"/>
      <c r="D307" s="170"/>
    </row>
    <row r="308" spans="1:4" ht="15">
      <c r="A308" s="68"/>
      <c r="B308" s="66"/>
      <c r="C308" s="17"/>
      <c r="D308" s="170"/>
    </row>
    <row r="309" spans="1:4">
      <c r="B309" s="66"/>
      <c r="C309" s="17"/>
      <c r="D309" s="170"/>
    </row>
    <row r="310" spans="1:4">
      <c r="B310" s="66"/>
      <c r="C310" s="17"/>
      <c r="D310" s="170"/>
    </row>
    <row r="311" spans="1:4" ht="15">
      <c r="B311" s="68"/>
      <c r="C311" s="17"/>
    </row>
  </sheetData>
  <sheetProtection algorithmName="SHA-512" hashValue="dpu/sn6XfjWyowgXnLrLexiDD7x0e3kdr5fGWQoZLA9Hq041eJUoK3TzmqWDzk+uqfh3D2WGgQbNrsbwtsa0Dw==" saltValue="UWZug1+OQiYdicDk4weCQA==" spinCount="100000" sheet="1" objects="1" scenarios="1"/>
  <mergeCells count="8">
    <mergeCell ref="B291:C291"/>
    <mergeCell ref="A224:C224"/>
    <mergeCell ref="A118:C118"/>
    <mergeCell ref="A158:C158"/>
    <mergeCell ref="A191:C191"/>
    <mergeCell ref="A125:C125"/>
    <mergeCell ref="A195:D195"/>
    <mergeCell ref="A218:C218"/>
  </mergeCells>
  <phoneticPr fontId="0" type="noConversion"/>
  <pageMargins left="0.61111111111111116" right="0.56944444444444442" top="0.59055118110236227" bottom="0.59055118110236227" header="0.19685039370078741" footer="0.19685039370078741"/>
  <pageSetup paperSize="9" orientation="portrait" cellComments="asDisplayed" r:id="rId1"/>
  <headerFooter alignWithMargins="0">
    <oddFooter>&amp;L&amp;"Times New Roman,Standard"&amp;8 28.02.2025 / RCW Budyšin&amp;C&amp;"Times New Roman,Standard"&amp;8www.zalozba.de / www.witaj-sprachzentrum.de
skaz. lisćina 2025/2026, zakładna šula (kat. 3)&amp;R&amp;"Times New Roman,Standard"&amp;8 &amp;P wot  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E20" sqref="E20"/>
    </sheetView>
  </sheetViews>
  <sheetFormatPr baseColWidth="10" defaultColWidth="11.3828125" defaultRowHeight="12.45"/>
  <cols>
    <col min="1" max="16384" width="11.3828125" style="36"/>
  </cols>
  <sheetData>
    <row r="1" spans="1:5" ht="87.9">
      <c r="A1" s="34"/>
      <c r="B1" s="23" t="s">
        <v>462</v>
      </c>
      <c r="C1" s="35"/>
      <c r="D1" s="1"/>
      <c r="E1" s="13"/>
    </row>
    <row r="2" spans="1:5" ht="38.6">
      <c r="A2" s="37" t="s">
        <v>463</v>
      </c>
      <c r="B2" s="26" t="s">
        <v>464</v>
      </c>
      <c r="C2" s="38">
        <v>10.4</v>
      </c>
      <c r="D2" s="24"/>
      <c r="E2" s="19"/>
    </row>
    <row r="3" spans="1:5" ht="38.6">
      <c r="A3" s="37" t="s">
        <v>465</v>
      </c>
      <c r="B3" s="26" t="s">
        <v>466</v>
      </c>
      <c r="C3" s="38">
        <v>10.4</v>
      </c>
      <c r="D3" s="24"/>
      <c r="E3" s="19"/>
    </row>
    <row r="4" spans="1:5" ht="38.6">
      <c r="A4" s="37" t="s">
        <v>467</v>
      </c>
      <c r="B4" s="26" t="s">
        <v>468</v>
      </c>
      <c r="C4" s="38">
        <v>11.4</v>
      </c>
      <c r="D4" s="24"/>
      <c r="E4" s="19"/>
    </row>
    <row r="5" spans="1:5">
      <c r="A5" s="39"/>
      <c r="B5" s="3"/>
      <c r="C5" s="39"/>
      <c r="D5" s="1"/>
      <c r="E5" s="13"/>
    </row>
    <row r="6" spans="1:5">
      <c r="A6" s="285" t="s">
        <v>469</v>
      </c>
      <c r="B6" s="285"/>
      <c r="C6" s="40"/>
      <c r="D6" s="41"/>
      <c r="E6" s="41"/>
    </row>
    <row r="7" spans="1:5">
      <c r="A7" s="42" t="s">
        <v>470</v>
      </c>
      <c r="B7" s="43"/>
      <c r="C7" s="44"/>
      <c r="D7" s="45"/>
      <c r="E7" s="45"/>
    </row>
  </sheetData>
  <mergeCells count="1">
    <mergeCell ref="A6:B6"/>
  </mergeCells>
  <phoneticPr fontId="0" type="noConversion"/>
  <pageMargins left="0.78740157499999996" right="0.78740157499999996" top="0.984251969" bottom="0.984251969" header="0.4921259845" footer="0.492125984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G25" sqref="G25"/>
    </sheetView>
  </sheetViews>
  <sheetFormatPr baseColWidth="10" defaultColWidth="11.3828125" defaultRowHeight="12.45"/>
  <cols>
    <col min="1" max="16384" width="11.3828125" style="36"/>
  </cols>
  <sheetData>
    <row r="1" spans="1:5" ht="87.9">
      <c r="A1" s="34"/>
      <c r="B1" s="23" t="s">
        <v>462</v>
      </c>
      <c r="C1" s="35"/>
      <c r="D1" s="1"/>
      <c r="E1" s="13"/>
    </row>
    <row r="2" spans="1:5" ht="38.6">
      <c r="A2" s="37" t="s">
        <v>463</v>
      </c>
      <c r="B2" s="26" t="s">
        <v>464</v>
      </c>
      <c r="C2" s="38">
        <v>10.4</v>
      </c>
      <c r="D2" s="24"/>
      <c r="E2" s="19"/>
    </row>
    <row r="3" spans="1:5" ht="38.6">
      <c r="A3" s="37" t="s">
        <v>465</v>
      </c>
      <c r="B3" s="26" t="s">
        <v>466</v>
      </c>
      <c r="C3" s="38">
        <v>10.4</v>
      </c>
      <c r="D3" s="24"/>
      <c r="E3" s="19"/>
    </row>
    <row r="4" spans="1:5" ht="38.6">
      <c r="A4" s="37" t="s">
        <v>467</v>
      </c>
      <c r="B4" s="26" t="s">
        <v>468</v>
      </c>
      <c r="C4" s="38">
        <v>11.4</v>
      </c>
      <c r="D4" s="24"/>
      <c r="E4" s="19"/>
    </row>
    <row r="5" spans="1:5">
      <c r="A5" s="39"/>
      <c r="B5" s="3"/>
      <c r="C5" s="39"/>
      <c r="D5" s="1"/>
      <c r="E5" s="13"/>
    </row>
    <row r="6" spans="1:5">
      <c r="A6" s="285" t="s">
        <v>469</v>
      </c>
      <c r="B6" s="285"/>
      <c r="C6" s="40"/>
      <c r="D6" s="41"/>
      <c r="E6" s="41"/>
    </row>
    <row r="7" spans="1:5">
      <c r="A7" s="42" t="s">
        <v>470</v>
      </c>
      <c r="B7" s="43"/>
      <c r="C7" s="44"/>
      <c r="D7" s="45"/>
      <c r="E7" s="45"/>
    </row>
  </sheetData>
  <mergeCells count="1">
    <mergeCell ref="A6:B6"/>
  </mergeCells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B24" sqref="B24"/>
    </sheetView>
  </sheetViews>
  <sheetFormatPr baseColWidth="10" defaultColWidth="11.3828125" defaultRowHeight="12.45"/>
  <cols>
    <col min="1" max="16384" width="11.3828125" style="36"/>
  </cols>
  <sheetData>
    <row r="1" spans="1:5" ht="87.9">
      <c r="A1" s="34"/>
      <c r="B1" s="23" t="s">
        <v>462</v>
      </c>
      <c r="C1" s="35"/>
      <c r="D1" s="1"/>
      <c r="E1" s="13"/>
    </row>
    <row r="2" spans="1:5" ht="38.6">
      <c r="A2" s="37" t="s">
        <v>463</v>
      </c>
      <c r="B2" s="26" t="s">
        <v>464</v>
      </c>
      <c r="C2" s="38">
        <v>10.4</v>
      </c>
      <c r="D2" s="24"/>
      <c r="E2" s="19"/>
    </row>
    <row r="3" spans="1:5" ht="38.6">
      <c r="A3" s="37" t="s">
        <v>465</v>
      </c>
      <c r="B3" s="26" t="s">
        <v>466</v>
      </c>
      <c r="C3" s="38">
        <v>10.4</v>
      </c>
      <c r="D3" s="24"/>
      <c r="E3" s="19"/>
    </row>
    <row r="4" spans="1:5" ht="38.6">
      <c r="A4" s="37" t="s">
        <v>467</v>
      </c>
      <c r="B4" s="26" t="s">
        <v>468</v>
      </c>
      <c r="C4" s="38">
        <v>11.4</v>
      </c>
      <c r="D4" s="24"/>
      <c r="E4" s="19"/>
    </row>
    <row r="5" spans="1:5">
      <c r="A5" s="39"/>
      <c r="B5" s="3"/>
      <c r="C5" s="39"/>
      <c r="D5" s="1"/>
      <c r="E5" s="13"/>
    </row>
    <row r="6" spans="1:5">
      <c r="A6" s="285" t="s">
        <v>469</v>
      </c>
      <c r="B6" s="285"/>
      <c r="C6" s="40"/>
      <c r="D6" s="41"/>
      <c r="E6" s="41"/>
    </row>
    <row r="7" spans="1:5">
      <c r="A7" s="42" t="s">
        <v>470</v>
      </c>
      <c r="B7" s="43"/>
      <c r="C7" s="44"/>
      <c r="D7" s="45"/>
      <c r="E7" s="45"/>
    </row>
  </sheetData>
  <mergeCells count="1">
    <mergeCell ref="A6:B6"/>
  </mergeCells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10"/>
  <sheetViews>
    <sheetView showGridLines="0" workbookViewId="0">
      <selection activeCell="E21" sqref="E21"/>
    </sheetView>
  </sheetViews>
  <sheetFormatPr baseColWidth="10" defaultColWidth="9.15234375" defaultRowHeight="12.45"/>
  <cols>
    <col min="1" max="1" width="1.15234375" customWidth="1"/>
    <col min="2" max="2" width="64.3828125" customWidth="1"/>
    <col min="3" max="3" width="1.53515625" customWidth="1"/>
    <col min="4" max="4" width="5.53515625" customWidth="1"/>
    <col min="5" max="6" width="16" customWidth="1"/>
    <col min="7" max="256" width="11.3828125" customWidth="1"/>
  </cols>
  <sheetData>
    <row r="1" spans="2:6">
      <c r="B1" s="122" t="s">
        <v>471</v>
      </c>
      <c r="C1" s="122"/>
      <c r="D1" s="126"/>
      <c r="E1" s="126"/>
      <c r="F1" s="126"/>
    </row>
    <row r="2" spans="2:6">
      <c r="B2" s="122" t="s">
        <v>472</v>
      </c>
      <c r="C2" s="122"/>
      <c r="D2" s="126"/>
      <c r="E2" s="126"/>
      <c r="F2" s="126"/>
    </row>
    <row r="3" spans="2:6">
      <c r="B3" s="123"/>
      <c r="C3" s="123"/>
      <c r="D3" s="127"/>
      <c r="E3" s="127"/>
      <c r="F3" s="127"/>
    </row>
    <row r="4" spans="2:6" ht="49.75">
      <c r="B4" s="123" t="s">
        <v>473</v>
      </c>
      <c r="C4" s="123"/>
      <c r="D4" s="127"/>
      <c r="E4" s="127"/>
      <c r="F4" s="127"/>
    </row>
    <row r="5" spans="2:6">
      <c r="B5" s="123"/>
      <c r="C5" s="123"/>
      <c r="D5" s="127"/>
      <c r="E5" s="127"/>
      <c r="F5" s="127"/>
    </row>
    <row r="6" spans="2:6">
      <c r="B6" s="122" t="s">
        <v>474</v>
      </c>
      <c r="C6" s="122"/>
      <c r="D6" s="126"/>
      <c r="E6" s="126" t="s">
        <v>13</v>
      </c>
      <c r="F6" s="126" t="s">
        <v>475</v>
      </c>
    </row>
    <row r="7" spans="2:6" ht="12.9" thickBot="1">
      <c r="B7" s="123"/>
      <c r="C7" s="123"/>
      <c r="D7" s="127"/>
      <c r="E7" s="127"/>
      <c r="F7" s="127"/>
    </row>
    <row r="8" spans="2:6" ht="37.75" thickBot="1">
      <c r="B8" s="124" t="s">
        <v>476</v>
      </c>
      <c r="C8" s="125"/>
      <c r="D8" s="128"/>
      <c r="E8" s="128">
        <v>2</v>
      </c>
      <c r="F8" s="129" t="s">
        <v>477</v>
      </c>
    </row>
    <row r="9" spans="2:6">
      <c r="B9" s="123"/>
      <c r="C9" s="123"/>
      <c r="D9" s="127"/>
      <c r="E9" s="127"/>
      <c r="F9" s="127"/>
    </row>
    <row r="10" spans="2:6">
      <c r="B10" s="123"/>
      <c r="C10" s="123"/>
      <c r="D10" s="127"/>
      <c r="E10" s="127"/>
      <c r="F10" s="127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A-zakladne-3-kat zalozba</vt:lpstr>
      <vt:lpstr>Tabelle1</vt:lpstr>
      <vt:lpstr>Tabelle1 (4)</vt:lpstr>
      <vt:lpstr>Tabelle1 (5)</vt:lpstr>
      <vt:lpstr>Kompatibilitätsbericht</vt:lpstr>
      <vt:lpstr>'A-zakladne-3-kat zalozba'!Druckbereich</vt:lpstr>
    </vt:vector>
  </TitlesOfParts>
  <Manager/>
  <Company>Domowina Verlag GmbH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Schlosser</dc:creator>
  <cp:keywords/>
  <dc:description/>
  <cp:lastModifiedBy>Hanka Budarjowa/Buder</cp:lastModifiedBy>
  <cp:revision/>
  <cp:lastPrinted>2025-02-28T09:50:07Z</cp:lastPrinted>
  <dcterms:created xsi:type="dcterms:W3CDTF">2002-03-08T08:35:03Z</dcterms:created>
  <dcterms:modified xsi:type="dcterms:W3CDTF">2025-03-12T07:13:17Z</dcterms:modified>
  <cp:category/>
  <cp:contentStatus/>
</cp:coreProperties>
</file>