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0c6f60037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pus" sheetId="1" r:id="Rc43ade40e7bb40eb"/>
    <x:sheet xmlns:r="http://schemas.openxmlformats.org/officeDocument/2006/relationships" name="Routes" sheetId="2" r:id="R412a6502c89d4796"/>
    <x:sheet xmlns:r="http://schemas.openxmlformats.org/officeDocument/2006/relationships" name="Language Coverage" sheetId="3" r:id="Reaf6da74e5094e68"/>
    <x:sheet xmlns:r="http://schemas.openxmlformats.org/officeDocument/2006/relationships" name="Variety Coverage" sheetId="4" r:id="Rce14861bc127485a"/>
    <x:sheet xmlns:r="http://schemas.openxmlformats.org/officeDocument/2006/relationships" name="Rejected Evidence" sheetId="5" r:id="R79b1cb5341604f4b"/>
    <x:sheet xmlns:r="http://schemas.openxmlformats.org/officeDocument/2006/relationships" name="Overview" sheetId="6" r:id="R970499c03de6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"/>
  </x:numFmts>
  <x:fonts count="15">
    <x:font>
      <x:sz val="11"/>
      <x:name val="Carlito"/>
    </x:font>
    <x:font>
      <x:sz val="9"/>
      <x:color rgb="FF1F2937"/>
      <x:name val="Aptos"/>
    </x:font>
    <x:font>
      <x:b/>
      <x:sz val="10"/>
      <x:color rgb="FFFFFFFF"/>
      <x:name val="Aptos Display"/>
    </x:font>
    <x:font>
      <x:b/>
      <x:sz val="20"/>
      <x:color rgb="FFFFFFFF"/>
      <x:name val="Aptos Display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sz val="11"/>
      <x:color rgb="FF713F12"/>
      <x:name val="Carlito"/>
    </x:font>
    <x:font>
      <x:sz val="11"/>
      <x:color rgb="FF7F1D1D"/>
      <x:name val="Carlito"/>
    </x:font>
    <x:font>
      <x:b/>
      <x:sz val="11"/>
      <x:color rgb="FF334155"/>
      <x:name val="Carlito"/>
    </x:font>
    <x:font>
      <x:b/>
      <x:sz val="10"/>
      <x:color rgb="FF1F2937"/>
      <x:name val="Aptos"/>
    </x:font>
    <x:font>
      <x:i/>
      <x:sz val="10"/>
      <x:color rgb="FF1F2937"/>
      <x:name val="Aptos"/>
    </x:font>
    <x:font>
      <x:sz val="10"/>
      <x:color rgb="FF1F2937"/>
      <x:name val="Aptos"/>
    </x:font>
    <x:font>
      <x:i/>
      <x:sz val="10"/>
      <x:color rgb="FF334155"/>
      <x:name val="Aptos"/>
    </x:font>
    <x:font>
      <x:b/>
      <x:sz val="10"/>
      <x:color rgb="FFFFFFFF"/>
      <x:name val="Aptos"/>
    </x:font>
    <x:font>
      <x:b/>
      <x:sz val="10"/>
      <x:color rgb="FF334155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DCE8F2"/>
      </x:patternFill>
    </x:fill>
    <x:fill>
      <x:patternFill patternType="solid">
        <x:fgColor rgb="FF2A7F74"/>
      </x:patternFill>
    </x:fill>
    <x:fill>
      <x:patternFill patternType="solid">
        <x:fgColor rgb="FFB45309"/>
      </x:patternFill>
    </x:fill>
    <x:fill>
      <x:patternFill patternType="solid">
        <x:fgColor rgb="FFFFF3CD"/>
      </x:patternFill>
    </x:fill>
    <x:fill>
      <x:patternFill patternType="solid">
        <x:fgColor rgb="FF7F1D1D"/>
      </x:patternFill>
    </x:fill>
    <x:fill>
      <x:patternFill patternType="solid">
        <x:fgColor rgb="FFFEE2E2"/>
      </x:patternFill>
    </x:fill>
    <x:fill>
      <x:patternFill patternType="solid">
        <x:fgColor rgb="FFE2E8F0"/>
      </x:patternFill>
    </x:fill>
  </x:fills>
  <x:borders count="46">
    <x:border/>
    <x:border/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D6A85F"/>
      </x:left>
      <x:top style="thin">
        <x:color rgb="FFD6A85F"/>
      </x:top>
    </x:border>
    <x:border>
      <x:top style="thin">
        <x:color rgb="FFD6A85F"/>
      </x:top>
    </x:border>
    <x:border>
      <x:right style="thin">
        <x:color rgb="FFD6A85F"/>
      </x:right>
      <x:top style="thin">
        <x:color rgb="FFD6A85F"/>
      </x:top>
    </x:border>
    <x:border>
      <x:left style="thin">
        <x:color rgb="FFD6A85F"/>
      </x:left>
    </x:border>
    <x:border>
      <x:right style="thin">
        <x:color rgb="FFD6A85F"/>
      </x:right>
    </x:border>
    <x:border>
      <x:left style="thin">
        <x:color rgb="FFD6A85F"/>
      </x:left>
      <x:bottom style="thin">
        <x:color rgb="FFD6A85F"/>
      </x:bottom>
    </x:border>
    <x:border>
      <x:bottom style="thin">
        <x:color rgb="FFD6A85F"/>
      </x:bottom>
    </x:border>
    <x:border>
      <x:right style="thin">
        <x:color rgb="FFD6A85F"/>
      </x:right>
      <x:bottom style="thin">
        <x:color rgb="FFD6A85F"/>
      </x:bottom>
    </x:border>
    <x:border>
      <x:left style="thin">
        <x:color rgb="FFD6A85F"/>
      </x:left>
      <x:top style="thin">
        <x:color rgb="FFD6A85F"/>
      </x:top>
    </x:border>
    <x:border>
      <x:top style="thin">
        <x:color rgb="FFD6A85F"/>
      </x:top>
    </x:border>
    <x:border>
      <x:right style="thin">
        <x:color rgb="FFD6A85F"/>
      </x:right>
      <x:top style="thin">
        <x:color rgb="FFD6A85F"/>
      </x:top>
    </x:border>
    <x:border>
      <x:left style="thin">
        <x:color rgb="FFD6A85F"/>
      </x:left>
    </x:border>
    <x:border>
      <x:right style="thin">
        <x:color rgb="FFD6A85F"/>
      </x:right>
    </x:border>
    <x:border>
      <x:left style="thin">
        <x:color rgb="FFD6A85F"/>
      </x:left>
      <x:bottom style="thin">
        <x:color rgb="FFD6A85F"/>
      </x:bottom>
    </x:border>
    <x:border>
      <x:bottom style="thin">
        <x:color rgb="FFD6A85F"/>
      </x:bottom>
    </x:border>
    <x:border>
      <x:right style="thin">
        <x:color rgb="FFD6A85F"/>
      </x:right>
      <x:bottom style="thin">
        <x:color rgb="FFD6A85F"/>
      </x:bottom>
    </x:border>
    <x:border>
      <x:left style="thin">
        <x:color rgb="FFE9A0A0"/>
      </x:left>
      <x:top style="thin">
        <x:color rgb="FFE9A0A0"/>
      </x:top>
    </x:border>
    <x:border>
      <x:top style="thin">
        <x:color rgb="FFE9A0A0"/>
      </x:top>
    </x:border>
    <x:border>
      <x:right style="thin">
        <x:color rgb="FFE9A0A0"/>
      </x:right>
      <x:top style="thin">
        <x:color rgb="FFE9A0A0"/>
      </x:top>
    </x:border>
    <x:border>
      <x:left style="thin">
        <x:color rgb="FFE9A0A0"/>
      </x:left>
    </x:border>
    <x:border>
      <x:right style="thin">
        <x:color rgb="FFE9A0A0"/>
      </x:right>
    </x:border>
    <x:border>
      <x:left style="thin">
        <x:color rgb="FFE9A0A0"/>
      </x:left>
      <x:bottom style="thin">
        <x:color rgb="FFE9A0A0"/>
      </x:bottom>
    </x:border>
    <x:border>
      <x:bottom style="thin">
        <x:color rgb="FFE9A0A0"/>
      </x:bottom>
    </x:border>
    <x:border>
      <x:right style="thin">
        <x:color rgb="FFE9A0A0"/>
      </x:right>
      <x:bottom style="thin">
        <x:color rgb="FFE9A0A0"/>
      </x:bottom>
    </x:border>
    <x:border>
      <x:left style="thin">
        <x:color rgb="FFE9A0A0"/>
      </x:left>
      <x:top style="thin">
        <x:color rgb="FFE9A0A0"/>
      </x:top>
    </x:border>
    <x:border>
      <x:top style="thin">
        <x:color rgb="FFE9A0A0"/>
      </x:top>
    </x:border>
    <x:border>
      <x:right style="thin">
        <x:color rgb="FFE9A0A0"/>
      </x:right>
      <x:top style="thin">
        <x:color rgb="FFE9A0A0"/>
      </x:top>
    </x:border>
    <x:border>
      <x:left style="thin">
        <x:color rgb="FFE9A0A0"/>
      </x:left>
    </x:border>
    <x:border>
      <x:right style="thin">
        <x:color rgb="FFE9A0A0"/>
      </x:right>
    </x:border>
    <x:border>
      <x:left style="thin">
        <x:color rgb="FFE9A0A0"/>
      </x:left>
      <x:bottom style="thin">
        <x:color rgb="FFE9A0A0"/>
      </x:bottom>
    </x:border>
    <x:border>
      <x:bottom style="thin">
        <x:color rgb="FFE9A0A0"/>
      </x:bottom>
    </x:border>
    <x:border>
      <x:right style="thin">
        <x:color rgb="FFE9A0A0"/>
      </x:right>
      <x:bottom style="thin">
        <x:color rgb="FFE9A0A0"/>
      </x:bottom>
    </x:border>
  </x:borders>
  <x:cellStyleXfs count="1">
    <x:xf numFmtId="0" fontId="0" fillId="0" borderId="0"/>
  </x:cellStyleXfs>
  <x:cellXfs count="26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/>
    </x:xf>
    <x:xf numFmtId="20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top"/>
    </x:xf>
    <x:xf numFmtId="201" fontId="2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/>
    </x:xf>
    <x:xf numFmtId="201" fontId="2" fillId="2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top"/>
    </x:xf>
    <x:xf numFmtId="201" fontId="2" fillId="2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top"/>
    </x:xf>
    <x:xf numFmtId="201" fontId="2" fillId="2" borderId="1" xfId="0" applyNumberFormat="1" applyFont="1" applyFill="1" applyBorder="1" applyAlignment="1">
      <x:alignment horizontal="right" vertical="center" wrapText="1"/>
    </x:xf>
    <x:xf numFmtId="201" fontId="1" fillId="0" borderId="1" xfId="0" applyNumberFormat="1" applyFont="1" applyFill="1" applyBorder="1" applyAlignment="1">
      <x:alignment horizontal="right" vertical="top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  <x:xf numFmtId="201" fontId="0" fillId="0" borderId="5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11" xfId="0" applyNumberFormat="1" applyFont="1" applyFill="1" applyBorder="1" applyAlignment="1">
      <x:alignment horizontal="right"/>
    </x:xf>
    <x:xf numFmtId="201" fontId="0" fillId="0" borderId="13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6" fillId="6" borderId="24" xfId="0" applyNumberFormat="1" applyFont="1" applyFill="1" applyBorder="1"/>
    <x:xf numFmtId="0" fontId="6" fillId="6" borderId="25" xfId="0" applyNumberFormat="1" applyFont="1" applyFill="1" applyBorder="1"/>
    <x:xf numFmtId="0" fontId="6" fillId="6" borderId="26" xfId="0" applyNumberFormat="1" applyFont="1" applyFill="1" applyBorder="1"/>
    <x:xf numFmtId="0" fontId="6" fillId="6" borderId="27" xfId="0" applyNumberFormat="1" applyFont="1" applyFill="1" applyBorder="1"/>
    <x:xf numFmtId="0" fontId="6" fillId="6" borderId="28" xfId="0" applyNumberFormat="1" applyFont="1" applyFill="1" applyBorder="1"/>
    <x:xf numFmtId="0" fontId="6" fillId="6" borderId="29" xfId="0" applyNumberFormat="1" applyFont="1" applyFill="1" applyBorder="1"/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23" xfId="0" applyNumberFormat="1" applyFont="1" applyFill="1" applyBorder="1" applyAlignment="1">
      <x:alignment wrapText="1"/>
    </x:xf>
    <x:xf numFmtId="0" fontId="6" fillId="6" borderId="24" xfId="0" applyNumberFormat="1" applyFont="1" applyFill="1" applyBorder="1" applyAlignment="1">
      <x:alignment wrapText="1"/>
    </x:xf>
    <x:xf numFmtId="0" fontId="6" fillId="6" borderId="25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26" xfId="0" applyNumberFormat="1" applyFont="1" applyFill="1" applyBorder="1" applyAlignment="1">
      <x:alignment wrapText="1"/>
    </x:xf>
    <x:xf numFmtId="0" fontId="6" fillId="6" borderId="27" xfId="0" applyNumberFormat="1" applyFont="1" applyFill="1" applyBorder="1" applyAlignment="1">
      <x:alignment wrapText="1"/>
    </x:xf>
    <x:xf numFmtId="0" fontId="6" fillId="6" borderId="28" xfId="0" applyNumberFormat="1" applyFont="1" applyFill="1" applyBorder="1" applyAlignment="1">
      <x:alignment wrapText="1"/>
    </x:xf>
    <x:xf numFmtId="0" fontId="6" fillId="6" borderId="29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vertical="top" wrapText="1"/>
    </x:xf>
    <x:xf numFmtId="0" fontId="6" fillId="6" borderId="15" xfId="0" applyNumberFormat="1" applyFont="1" applyFill="1" applyBorder="1" applyAlignment="1">
      <x:alignment vertical="top" wrapText="1"/>
    </x:xf>
    <x:xf numFmtId="0" fontId="6" fillId="6" borderId="16" xfId="0" applyNumberFormat="1" applyFont="1" applyFill="1" applyBorder="1" applyAlignment="1">
      <x:alignment vertical="top" wrapText="1"/>
    </x:xf>
    <x:xf numFmtId="0" fontId="6" fillId="6" borderId="17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8" xfId="0" applyNumberFormat="1" applyFont="1" applyFill="1" applyBorder="1" applyAlignment="1">
      <x:alignment vertical="top" wrapText="1"/>
    </x:xf>
    <x:xf numFmtId="0" fontId="6" fillId="6" borderId="19" xfId="0" applyNumberFormat="1" applyFont="1" applyFill="1" applyBorder="1" applyAlignment="1">
      <x:alignment vertical="top" wrapText="1"/>
    </x:xf>
    <x:xf numFmtId="0" fontId="6" fillId="6" borderId="20" xfId="0" applyNumberFormat="1" applyFont="1" applyFill="1" applyBorder="1" applyAlignment="1">
      <x:alignment vertical="top" wrapText="1"/>
    </x:xf>
    <x:xf numFmtId="0" fontId="6" fillId="6" borderId="21" xfId="0" applyNumberFormat="1" applyFont="1" applyFill="1" applyBorder="1" applyAlignment="1">
      <x:alignment vertical="top" wrapText="1"/>
    </x:xf>
    <x:xf numFmtId="0" fontId="6" fillId="6" borderId="22" xfId="0" applyNumberFormat="1" applyFont="1" applyFill="1" applyBorder="1" applyAlignment="1">
      <x:alignment vertical="top" wrapText="1"/>
    </x:xf>
    <x:xf numFmtId="0" fontId="6" fillId="6" borderId="23" xfId="0" applyNumberFormat="1" applyFont="1" applyFill="1" applyBorder="1" applyAlignment="1">
      <x:alignment vertical="top" wrapText="1"/>
    </x:xf>
    <x:xf numFmtId="0" fontId="6" fillId="6" borderId="24" xfId="0" applyNumberFormat="1" applyFont="1" applyFill="1" applyBorder="1" applyAlignment="1">
      <x:alignment vertical="top" wrapText="1"/>
    </x:xf>
    <x:xf numFmtId="0" fontId="6" fillId="6" borderId="25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vertical="top" wrapText="1"/>
    </x:xf>
    <x:xf numFmtId="0" fontId="6" fillId="6" borderId="27" xfId="0" applyNumberFormat="1" applyFont="1" applyFill="1" applyBorder="1" applyAlignment="1">
      <x:alignment vertical="top" wrapText="1"/>
    </x:xf>
    <x:xf numFmtId="0" fontId="6" fillId="6" borderId="28" xfId="0" applyNumberFormat="1" applyFont="1" applyFill="1" applyBorder="1" applyAlignment="1">
      <x:alignment vertical="top" wrapText="1"/>
    </x:xf>
    <x:xf numFmtId="0" fontId="6" fillId="6" borderId="2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30" xfId="0" applyNumberFormat="1" applyFont="1" applyFill="1" applyBorder="1"/>
    <x:xf numFmtId="0" fontId="7" fillId="8" borderId="31" xfId="0" applyNumberFormat="1" applyFont="1" applyFill="1" applyBorder="1"/>
    <x:xf numFmtId="0" fontId="7" fillId="8" borderId="32" xfId="0" applyNumberFormat="1" applyFont="1" applyFill="1" applyBorder="1"/>
    <x:xf numFmtId="0" fontId="7" fillId="8" borderId="33" xfId="0" applyNumberFormat="1" applyFont="1" applyFill="1" applyBorder="1"/>
    <x:xf numFmtId="0" fontId="7" fillId="8" borderId="34" xfId="0" applyNumberFormat="1" applyFont="1" applyFill="1" applyBorder="1"/>
    <x:xf numFmtId="0" fontId="7" fillId="8" borderId="35" xfId="0" applyNumberFormat="1" applyFont="1" applyFill="1" applyBorder="1"/>
    <x:xf numFmtId="0" fontId="7" fillId="8" borderId="36" xfId="0" applyNumberFormat="1" applyFont="1" applyFill="1" applyBorder="1"/>
    <x:xf numFmtId="0" fontId="7" fillId="8" borderId="37" xfId="0" applyNumberFormat="1" applyFont="1" applyFill="1" applyBorder="1"/>
    <x:xf numFmtId="0" fontId="7" fillId="8" borderId="38" xfId="0" applyNumberFormat="1" applyFont="1" applyFill="1" applyBorder="1"/>
    <x:xf numFmtId="0" fontId="7" fillId="8" borderId="39" xfId="0" applyNumberFormat="1" applyFont="1" applyFill="1" applyBorder="1"/>
    <x:xf numFmtId="0" fontId="7" fillId="8" borderId="40" xfId="0" applyNumberFormat="1" applyFont="1" applyFill="1" applyBorder="1"/>
    <x:xf numFmtId="0" fontId="7" fillId="8" borderId="41" xfId="0" applyNumberFormat="1" applyFont="1" applyFill="1" applyBorder="1"/>
    <x:xf numFmtId="0" fontId="7" fillId="8" borderId="42" xfId="0" applyNumberFormat="1" applyFont="1" applyFill="1" applyBorder="1"/>
    <x:xf numFmtId="0" fontId="7" fillId="8" borderId="43" xfId="0" applyNumberFormat="1" applyFont="1" applyFill="1" applyBorder="1"/>
    <x:xf numFmtId="0" fontId="7" fillId="8" borderId="44" xfId="0" applyNumberFormat="1" applyFont="1" applyFill="1" applyBorder="1"/>
    <x:xf numFmtId="0" fontId="7" fillId="8" borderId="45" xfId="0" applyNumberFormat="1" applyFont="1" applyFill="1" applyBorder="1"/>
    <x:xf numFmtId="0" fontId="7" fillId="8" borderId="30" xfId="0" applyNumberFormat="1" applyFont="1" applyFill="1" applyBorder="1" applyAlignment="1">
      <x:alignment wrapText="1"/>
    </x:xf>
    <x:xf numFmtId="0" fontId="7" fillId="8" borderId="31" xfId="0" applyNumberFormat="1" applyFont="1" applyFill="1" applyBorder="1" applyAlignment="1">
      <x:alignment wrapText="1"/>
    </x:xf>
    <x:xf numFmtId="0" fontId="7" fillId="8" borderId="32" xfId="0" applyNumberFormat="1" applyFont="1" applyFill="1" applyBorder="1" applyAlignment="1">
      <x:alignment wrapText="1"/>
    </x:xf>
    <x:xf numFmtId="0" fontId="7" fillId="8" borderId="33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34" xfId="0" applyNumberFormat="1" applyFont="1" applyFill="1" applyBorder="1" applyAlignment="1">
      <x:alignment wrapText="1"/>
    </x:xf>
    <x:xf numFmtId="0" fontId="7" fillId="8" borderId="35" xfId="0" applyNumberFormat="1" applyFont="1" applyFill="1" applyBorder="1" applyAlignment="1">
      <x:alignment wrapText="1"/>
    </x:xf>
    <x:xf numFmtId="0" fontId="7" fillId="8" borderId="36" xfId="0" applyNumberFormat="1" applyFont="1" applyFill="1" applyBorder="1" applyAlignment="1">
      <x:alignment wrapText="1"/>
    </x:xf>
    <x:xf numFmtId="0" fontId="7" fillId="8" borderId="37" xfId="0" applyNumberFormat="1" applyFont="1" applyFill="1" applyBorder="1" applyAlignment="1">
      <x:alignment wrapText="1"/>
    </x:xf>
    <x:xf numFmtId="0" fontId="7" fillId="8" borderId="38" xfId="0" applyNumberFormat="1" applyFont="1" applyFill="1" applyBorder="1" applyAlignment="1">
      <x:alignment wrapText="1"/>
    </x:xf>
    <x:xf numFmtId="0" fontId="7" fillId="8" borderId="39" xfId="0" applyNumberFormat="1" applyFont="1" applyFill="1" applyBorder="1" applyAlignment="1">
      <x:alignment wrapText="1"/>
    </x:xf>
    <x:xf numFmtId="0" fontId="7" fillId="8" borderId="40" xfId="0" applyNumberFormat="1" applyFont="1" applyFill="1" applyBorder="1" applyAlignment="1">
      <x:alignment wrapText="1"/>
    </x:xf>
    <x:xf numFmtId="0" fontId="7" fillId="8" borderId="4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7" fillId="8" borderId="42" xfId="0" applyNumberFormat="1" applyFont="1" applyFill="1" applyBorder="1" applyAlignment="1">
      <x:alignment wrapText="1"/>
    </x:xf>
    <x:xf numFmtId="0" fontId="7" fillId="8" borderId="43" xfId="0" applyNumberFormat="1" applyFont="1" applyFill="1" applyBorder="1" applyAlignment="1">
      <x:alignment wrapText="1"/>
    </x:xf>
    <x:xf numFmtId="0" fontId="7" fillId="8" borderId="44" xfId="0" applyNumberFormat="1" applyFont="1" applyFill="1" applyBorder="1" applyAlignment="1">
      <x:alignment wrapText="1"/>
    </x:xf>
    <x:xf numFmtId="0" fontId="7" fillId="8" borderId="45" xfId="0" applyNumberFormat="1" applyFont="1" applyFill="1" applyBorder="1" applyAlignment="1">
      <x:alignment wrapText="1"/>
    </x:xf>
    <x:xf numFmtId="0" fontId="7" fillId="8" borderId="30" xfId="0" applyNumberFormat="1" applyFont="1" applyFill="1" applyBorder="1" applyAlignment="1">
      <x:alignment vertical="top" wrapText="1"/>
    </x:xf>
    <x:xf numFmtId="0" fontId="7" fillId="8" borderId="31" xfId="0" applyNumberFormat="1" applyFont="1" applyFill="1" applyBorder="1" applyAlignment="1">
      <x:alignment vertical="top" wrapText="1"/>
    </x:xf>
    <x:xf numFmtId="0" fontId="7" fillId="8" borderId="32" xfId="0" applyNumberFormat="1" applyFont="1" applyFill="1" applyBorder="1" applyAlignment="1">
      <x:alignment vertical="top" wrapText="1"/>
    </x:xf>
    <x:xf numFmtId="0" fontId="7" fillId="8" borderId="33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34" xfId="0" applyNumberFormat="1" applyFont="1" applyFill="1" applyBorder="1" applyAlignment="1">
      <x:alignment vertical="top" wrapText="1"/>
    </x:xf>
    <x:xf numFmtId="0" fontId="7" fillId="8" borderId="35" xfId="0" applyNumberFormat="1" applyFont="1" applyFill="1" applyBorder="1" applyAlignment="1">
      <x:alignment vertical="top" wrapText="1"/>
    </x:xf>
    <x:xf numFmtId="0" fontId="7" fillId="8" borderId="36" xfId="0" applyNumberFormat="1" applyFont="1" applyFill="1" applyBorder="1" applyAlignment="1">
      <x:alignment vertical="top" wrapText="1"/>
    </x:xf>
    <x:xf numFmtId="0" fontId="7" fillId="8" borderId="37" xfId="0" applyNumberFormat="1" applyFont="1" applyFill="1" applyBorder="1" applyAlignment="1">
      <x:alignment vertical="top" wrapText="1"/>
    </x:xf>
    <x:xf numFmtId="0" fontId="7" fillId="8" borderId="38" xfId="0" applyNumberFormat="1" applyFont="1" applyFill="1" applyBorder="1" applyAlignment="1">
      <x:alignment vertical="top" wrapText="1"/>
    </x:xf>
    <x:xf numFmtId="0" fontId="7" fillId="8" borderId="39" xfId="0" applyNumberFormat="1" applyFont="1" applyFill="1" applyBorder="1" applyAlignment="1">
      <x:alignment vertical="top" wrapText="1"/>
    </x:xf>
    <x:xf numFmtId="0" fontId="7" fillId="8" borderId="40" xfId="0" applyNumberFormat="1" applyFont="1" applyFill="1" applyBorder="1" applyAlignment="1">
      <x:alignment vertical="top" wrapText="1"/>
    </x:xf>
    <x:xf numFmtId="0" fontId="7" fillId="8" borderId="4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8" borderId="42" xfId="0" applyNumberFormat="1" applyFont="1" applyFill="1" applyBorder="1" applyAlignment="1">
      <x:alignment vertical="top" wrapText="1"/>
    </x:xf>
    <x:xf numFmtId="0" fontId="7" fillId="8" borderId="43" xfId="0" applyNumberFormat="1" applyFont="1" applyFill="1" applyBorder="1" applyAlignment="1">
      <x:alignment vertical="top" wrapText="1"/>
    </x:xf>
    <x:xf numFmtId="0" fontId="7" fillId="8" borderId="44" xfId="0" applyNumberFormat="1" applyFont="1" applyFill="1" applyBorder="1" applyAlignment="1">
      <x:alignment vertical="top" wrapText="1"/>
    </x:xf>
    <x:xf numFmtId="0" fontId="7" fillId="8" borderId="45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9" fillId="4" borderId="2" xfId="0" applyNumberFormat="1" applyFont="1" applyFill="1" applyBorder="1"/>
    <x:xf numFmtId="0" fontId="9" fillId="4" borderId="3" xfId="0" applyNumberFormat="1" applyFont="1" applyFill="1" applyBorder="1"/>
    <x:xf numFmtId="0" fontId="9" fillId="5" borderId="0" xfId="0" applyNumberFormat="1" applyFont="1" applyFill="1" applyBorder="1"/>
    <x:xf numFmtId="0" fontId="11" fillId="0" borderId="4" xfId="0" applyNumberFormat="1" applyFont="1" applyFill="1" applyBorder="1"/>
    <x:xf numFmtId="201" fontId="11" fillId="0" borderId="5" xfId="0" applyNumberFormat="1" applyFont="1" applyFill="1" applyBorder="1" applyAlignment="1">
      <x:alignment horizontal="right"/>
    </x:xf>
    <x:xf numFmtId="0" fontId="11" fillId="6" borderId="14" xfId="0" applyNumberFormat="1" applyFont="1" applyFill="1" applyBorder="1" applyAlignment="1">
      <x:alignment vertical="top" wrapText="1"/>
    </x:xf>
    <x:xf numFmtId="0" fontId="11" fillId="6" borderId="15" xfId="0" applyNumberFormat="1" applyFont="1" applyFill="1" applyBorder="1" applyAlignment="1">
      <x:alignment vertical="top" wrapText="1"/>
    </x:xf>
    <x:xf numFmtId="0" fontId="11" fillId="6" borderId="16" xfId="0" applyNumberFormat="1" applyFont="1" applyFill="1" applyBorder="1" applyAlignment="1">
      <x:alignment vertical="top" wrapText="1"/>
    </x:xf>
    <x:xf numFmtId="0" fontId="11" fillId="6" borderId="17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11" fillId="6" borderId="18" xfId="0" applyNumberFormat="1" applyFont="1" applyFill="1" applyBorder="1" applyAlignment="1">
      <x:alignment vertical="top" wrapText="1"/>
    </x:xf>
    <x:xf numFmtId="0" fontId="11" fillId="6" borderId="19" xfId="0" applyNumberFormat="1" applyFont="1" applyFill="1" applyBorder="1" applyAlignment="1">
      <x:alignment vertical="top" wrapText="1"/>
    </x:xf>
    <x:xf numFmtId="0" fontId="11" fillId="6" borderId="20" xfId="0" applyNumberFormat="1" applyFont="1" applyFill="1" applyBorder="1" applyAlignment="1">
      <x:alignment vertical="top" wrapText="1"/>
    </x:xf>
    <x:xf numFmtId="0" fontId="11" fillId="6" borderId="21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/>
    <x:xf numFmtId="0" fontId="11" fillId="8" borderId="30" xfId="0" applyNumberFormat="1" applyFont="1" applyFill="1" applyBorder="1" applyAlignment="1">
      <x:alignment vertical="top" wrapText="1"/>
    </x:xf>
    <x:xf numFmtId="0" fontId="11" fillId="8" borderId="31" xfId="0" applyNumberFormat="1" applyFont="1" applyFill="1" applyBorder="1" applyAlignment="1">
      <x:alignment vertical="top" wrapText="1"/>
    </x:xf>
    <x:xf numFmtId="0" fontId="11" fillId="8" borderId="32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/>
    <x:xf numFmtId="201" fontId="11" fillId="0" borderId="7" xfId="0" applyNumberFormat="1" applyFont="1" applyFill="1" applyBorder="1" applyAlignment="1">
      <x:alignment horizontal="right"/>
    </x:xf>
    <x:xf numFmtId="0" fontId="11" fillId="8" borderId="33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11" fillId="8" borderId="34" xfId="0" applyNumberFormat="1" applyFont="1" applyFill="1" applyBorder="1" applyAlignment="1">
      <x:alignment vertical="top" wrapText="1"/>
    </x:xf>
    <x:xf numFmtId="0" fontId="11" fillId="8" borderId="35" xfId="0" applyNumberFormat="1" applyFont="1" applyFill="1" applyBorder="1" applyAlignment="1">
      <x:alignment vertical="top" wrapText="1"/>
    </x:xf>
    <x:xf numFmtId="0" fontId="11" fillId="8" borderId="36" xfId="0" applyNumberFormat="1" applyFont="1" applyFill="1" applyBorder="1" applyAlignment="1">
      <x:alignment vertical="top" wrapText="1"/>
    </x:xf>
    <x:xf numFmtId="0" fontId="11" fillId="8" borderId="37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horizontal="left" vertical="center"/>
    </x:xf>
    <x:xf numFmtId="0" fontId="10" fillId="3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/>
    <x:xf numFmtId="0" fontId="9" fillId="4" borderId="8" xfId="0" applyNumberFormat="1" applyFont="1" applyFill="1" applyBorder="1"/>
    <x:xf numFmtId="0" fontId="9" fillId="4" borderId="9" xfId="0" applyNumberFormat="1" applyFont="1" applyFill="1" applyBorder="1"/>
    <x:xf numFmtId="0" fontId="9" fillId="5" borderId="1" xfId="0" applyNumberFormat="1" applyFont="1" applyFill="1" applyBorder="1"/>
    <x:xf numFmtId="0" fontId="11" fillId="0" borderId="10" xfId="0" applyNumberFormat="1" applyFont="1" applyFill="1" applyBorder="1"/>
    <x:xf numFmtId="201" fontId="11" fillId="0" borderId="11" xfId="0" applyNumberFormat="1" applyFont="1" applyFill="1" applyBorder="1" applyAlignment="1">
      <x:alignment horizontal="right"/>
    </x:xf>
    <x:xf numFmtId="0" fontId="11" fillId="6" borderId="22" xfId="0" applyNumberFormat="1" applyFont="1" applyFill="1" applyBorder="1" applyAlignment="1">
      <x:alignment vertical="top" wrapText="1"/>
    </x:xf>
    <x:xf numFmtId="0" fontId="11" fillId="6" borderId="23" xfId="0" applyNumberFormat="1" applyFont="1" applyFill="1" applyBorder="1" applyAlignment="1">
      <x:alignment vertical="top" wrapText="1"/>
    </x:xf>
    <x:xf numFmtId="0" fontId="11" fillId="6" borderId="24" xfId="0" applyNumberFormat="1" applyFont="1" applyFill="1" applyBorder="1" applyAlignment="1">
      <x:alignment vertical="top" wrapText="1"/>
    </x:xf>
    <x:xf numFmtId="0" fontId="11" fillId="6" borderId="25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vertical="top" wrapText="1"/>
    </x:xf>
    <x:xf numFmtId="0" fontId="11" fillId="6" borderId="26" xfId="0" applyNumberFormat="1" applyFont="1" applyFill="1" applyBorder="1" applyAlignment="1">
      <x:alignment vertical="top" wrapText="1"/>
    </x:xf>
    <x:xf numFmtId="0" fontId="11" fillId="6" borderId="27" xfId="0" applyNumberFormat="1" applyFont="1" applyFill="1" applyBorder="1" applyAlignment="1">
      <x:alignment vertical="top" wrapText="1"/>
    </x:xf>
    <x:xf numFmtId="0" fontId="11" fillId="6" borderId="28" xfId="0" applyNumberFormat="1" applyFont="1" applyFill="1" applyBorder="1" applyAlignment="1">
      <x:alignment vertical="top" wrapText="1"/>
    </x:xf>
    <x:xf numFmtId="0" fontId="11" fillId="6" borderId="29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/>
    <x:xf numFmtId="0" fontId="11" fillId="8" borderId="38" xfId="0" applyNumberFormat="1" applyFont="1" applyFill="1" applyBorder="1" applyAlignment="1">
      <x:alignment vertical="top" wrapText="1"/>
    </x:xf>
    <x:xf numFmtId="0" fontId="11" fillId="8" borderId="39" xfId="0" applyNumberFormat="1" applyFont="1" applyFill="1" applyBorder="1" applyAlignment="1">
      <x:alignment vertical="top" wrapText="1"/>
    </x:xf>
    <x:xf numFmtId="0" fontId="11" fillId="8" borderId="40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/>
    <x:xf numFmtId="201" fontId="11" fillId="0" borderId="13" xfId="0" applyNumberFormat="1" applyFont="1" applyFill="1" applyBorder="1" applyAlignment="1">
      <x:alignment horizontal="right"/>
    </x:xf>
    <x:xf numFmtId="0" fontId="11" fillId="8" borderId="41" xfId="0" applyNumberFormat="1" applyFont="1" applyFill="1" applyBorder="1" applyAlignment="1">
      <x:alignment vertical="top" wrapText="1"/>
    </x:xf>
    <x:xf numFmtId="0" fontId="11" fillId="8" borderId="1" xfId="0" applyNumberFormat="1" applyFont="1" applyFill="1" applyBorder="1" applyAlignment="1">
      <x:alignment vertical="top" wrapText="1"/>
    </x:xf>
    <x:xf numFmtId="0" fontId="11" fillId="8" borderId="42" xfId="0" applyNumberFormat="1" applyFont="1" applyFill="1" applyBorder="1" applyAlignment="1">
      <x:alignment vertical="top" wrapText="1"/>
    </x:xf>
    <x:xf numFmtId="0" fontId="11" fillId="8" borderId="43" xfId="0" applyNumberFormat="1" applyFont="1" applyFill="1" applyBorder="1" applyAlignment="1">
      <x:alignment vertical="top" wrapText="1"/>
    </x:xf>
    <x:xf numFmtId="0" fontId="11" fillId="8" borderId="44" xfId="0" applyNumberFormat="1" applyFont="1" applyFill="1" applyBorder="1" applyAlignment="1">
      <x:alignment vertical="top" wrapText="1"/>
    </x:xf>
    <x:xf numFmtId="0" fontId="11" fillId="8" borderId="45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/>
    </x:xf>
    <x:xf numFmtId="0" fontId="12" fillId="3" borderId="1" xfId="0" applyNumberFormat="1" applyFont="1" applyFill="1" applyBorder="1" applyAlignment="1">
      <x:alignment vertical="center"/>
    </x:xf>
    <x:xf numFmtId="0" fontId="13" fillId="4" borderId="2" xfId="0" applyNumberFormat="1" applyFont="1" applyFill="1" applyBorder="1"/>
    <x:xf numFmtId="0" fontId="13" fillId="4" borderId="3" xfId="0" applyNumberFormat="1" applyFont="1" applyFill="1" applyBorder="1"/>
    <x:xf numFmtId="0" fontId="13" fillId="4" borderId="8" xfId="0" applyNumberFormat="1" applyFont="1" applyFill="1" applyBorder="1"/>
    <x:xf numFmtId="0" fontId="13" fillId="4" borderId="9" xfId="0" applyNumberFormat="1" applyFont="1" applyFill="1" applyBorder="1"/>
    <x:xf numFmtId="0" fontId="13" fillId="5" borderId="0" xfId="0" applyNumberFormat="1" applyFont="1" applyFill="1" applyBorder="1"/>
    <x:xf numFmtId="0" fontId="13" fillId="5" borderId="1" xfId="0" applyNumberFormat="1" applyFont="1" applyFill="1" applyBorder="1"/>
    <x:xf numFmtId="0" fontId="13" fillId="7" borderId="0" xfId="0" applyNumberFormat="1" applyFont="1" applyFill="1" applyBorder="1"/>
    <x:xf numFmtId="0" fontId="13" fillId="7" borderId="1" xfId="0" applyNumberFormat="1" applyFont="1" applyFill="1" applyBorder="1"/>
    <x:xf numFmtId="0" fontId="1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f246f86854407" /><Relationship Type="http://schemas.openxmlformats.org/officeDocument/2006/relationships/theme" Target="/xl/theme/theme1.xml" Id="Ra27aa5c5d2b843bc" /><Relationship Type="http://schemas.openxmlformats.org/officeDocument/2006/relationships/sharedStrings" Target="/xl/sharedStrings.xml" Id="R2426b6e2206b47ce" /><Relationship Type="http://schemas.openxmlformats.org/officeDocument/2006/relationships/worksheet" Target="/xl/worksheets/sheet1.xml" Id="Rc43ade40e7bb40eb" /><Relationship Type="http://schemas.openxmlformats.org/officeDocument/2006/relationships/worksheet" Target="/xl/worksheets/sheet2.xml" Id="R412a6502c89d4796" /><Relationship Type="http://schemas.openxmlformats.org/officeDocument/2006/relationships/worksheet" Target="/xl/worksheets/sheet3.xml" Id="Reaf6da74e5094e68" /><Relationship Type="http://schemas.openxmlformats.org/officeDocument/2006/relationships/worksheet" Target="/xl/worksheets/sheet4.xml" Id="Rce14861bc127485a" /><Relationship Type="http://schemas.openxmlformats.org/officeDocument/2006/relationships/worksheet" Target="/xl/worksheets/sheet5.xml" Id="R79b1cb5341604f4b" /><Relationship Type="http://schemas.openxmlformats.org/officeDocument/2006/relationships/worksheet" Target="/xl/worksheets/sheet6.xml" Id="R970499c03de644f3" /></Relationships>
</file>

<file path=xl/tables/table1.xml><?xml version="1.0" encoding="utf-8"?>
<x:table xmlns:x="http://schemas.openxmlformats.org/spreadsheetml/2006/main" id="1" name="CorpusMetadata" displayName="CorpusMetadata" ref="A1:AQ154" headerRowCount="1" totalsRowCount="0" totalsRowShown="0">
  <x:autoFilter ref="A1:AQ154"/>
  <x:tableColumns count="43">
    <x:tableColumn id="1" name="record_id"/>
    <x:tableColumn id="2" name="logical_source_id"/>
    <x:tableColumn id="3" name="language"/>
    <x:tableColumn id="4" name="variety_code"/>
    <x:tableColumn id="5" name="standard_or_idiom"/>
    <x:tableColumn id="6" name="region"/>
    <x:tableColumn id="7" name="script"/>
    <x:tableColumn id="8" name="secondary_language"/>
    <x:tableColumn id="9" name="institution"/>
    <x:tableColumn id="10" name="publication_date"/>
    <x:tableColumn id="11" name="retrieved_at"/>
    <x:tableColumn id="12" name="domain"/>
    <x:tableColumn id="13" name="domain_tags"/>
    <x:tableColumn id="14" name="domain_review_status"/>
    <x:tableColumn id="15" name="register"/>
    <x:tableColumn id="16" name="title_or_query"/>
    <x:tableColumn id="17" name="representation"/>
    <x:tableColumn id="18" name="source_bytes"/>
    <x:tableColumn id="19" name="source_sha256"/>
    <x:tableColumn id="20" name="search_text_sha256"/>
    <x:tableColumn id="21" name="search_text_contract"/>
    <x:tableColumn id="22" name="public_upstream_locator"/>
    <x:tableColumn id="23" name="locator_visibility"/>
    <x:tableColumn id="24" name="revision_or_version"/>
    <x:tableColumn id="25" name="source_use_status"/>
    <x:tableColumn id="26" name="license_signal"/>
    <x:tableColumn id="27" name="license_status"/>
    <x:tableColumn id="28" name="hash_verification"/>
    <x:tableColumn id="29" name="sense_review_status"/>
    <x:tableColumn id="30" name="corpus_topic_eligible"/>
    <x:tableColumn id="31" name="native_source"/>
    <x:tableColumn id="32" name="generated"/>
    <x:tableColumn id="33" name="dedupe_status"/>
    <x:tableColumn id="34" name="counting_eligible"/>
    <x:tableColumn id="35" name="term_promotion_eligible"/>
    <x:tableColumn id="36" name="corpus_role"/>
    <x:tableColumn id="37" name="active_body_eligible"/>
    <x:tableColumn id="38" name="official_lexical_reference"/>
    <x:tableColumn id="39" name="translation_family_id"/>
    <x:tableColumn id="40" name="translation_sibling_status"/>
    <x:tableColumn id="41" name="specialist_algebra_eligible"/>
    <x:tableColumn id="42" name="intake_source_id"/>
    <x:tableColumn id="43" name="intake_manifest_sha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chRoutes" displayName="BranchRoutes" ref="A1:AJ62" headerRowCount="1" totalsRowCount="0" totalsRowShown="0">
  <x:autoFilter ref="A1:AJ62"/>
  <x:tableColumns count="36">
    <x:tableColumn id="1" name="route_id"/>
    <x:tableColumn id="2" name="variety_code"/>
    <x:tableColumn id="3" name="variety_name"/>
    <x:tableColumn id="4" name="macrobranch"/>
    <x:tableColumn id="5" name="subbranch"/>
    <x:tableColumn id="6" name="standard_or_idiom"/>
    <x:tableColumn id="7" name="region"/>
    <x:tableColumn id="8" name="script"/>
    <x:tableColumn id="9" name="scope_status"/>
    <x:tableColumn id="10" name="corpus_language_key"/>
    <x:tableColumn id="11" name="source_queue"/>
    <x:tableColumn id="12" name="gap_reason"/>
    <x:tableColumn id="13" name="cohort_route"/>
    <x:tableColumn id="14" name="dominant_standard_not_proxy"/>
    <x:tableColumn id="15" name="notes"/>
    <x:tableColumn id="16" name="current_active_body_count"/>
    <x:tableColumn id="17" name="current_active_bytes"/>
    <x:tableColumn id="18" name="current_domains"/>
    <x:tableColumn id="19" name="current_source_ids"/>
    <x:tableColumn id="20" name="current_general_school_math_body_count"/>
    <x:tableColumn id="21" name="current_specialist_algebra_body_count"/>
    <x:tableColumn id="22" name="inherited_form_attestation_count"/>
    <x:tableColumn id="23" name="inherited_forms_are_corpus_attestation"/>
    <x:tableColumn id="24" name="current_license_status"/>
    <x:tableColumn id="25" name="evidence_status"/>
    <x:tableColumn id="26" name="corpus_manifest_sha256"/>
    <x:tableColumn id="27" name="review_status"/>
    <x:tableColumn id="28" name="official_lexical_reference_source_count"/>
    <x:tableColumn id="29" name="official_lexical_reference_record_count"/>
    <x:tableColumn id="30" name="official_lexical_reference_source_ids"/>
    <x:tableColumn id="31" name="official_lexical_reference_license_status"/>
    <x:tableColumn id="32" name="lexical_reference_only_not_body"/>
    <x:tableColumn id="33" name="translation_family_count"/>
    <x:tableColumn id="34" name="official_translation_sibling_body_count"/>
    <x:tableColumn id="35" name="latest_acquisition_intake_source_ids"/>
    <x:tableColumn id="36" name="specialist_algebra_gap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nguageCoverage" displayName="LanguageCoverage" ref="A1:R10" headerRowCount="1" totalsRowCount="0" totalsRowShown="0">
  <x:autoFilter ref="A1:R10"/>
  <x:tableColumns count="18">
    <x:tableColumn id="1" name="language"/>
    <x:tableColumn id="2" name="records"/>
    <x:tableColumn id="3" name="primary_unique_records"/>
    <x:tableColumn id="4" name="unique_logical_sources"/>
    <x:tableColumn id="5" name="counting_eligible"/>
    <x:tableColumn id="6" name="active_body_eligible"/>
    <x:tableColumn id="7" name="official_lexical_reference_records"/>
    <x:tableColumn id="8" name="bytes"/>
    <x:tableColumn id="9" name="active_body_bytes"/>
    <x:tableColumn id="10" name="all_primary_bytes"/>
    <x:tableColumn id="11" name="declared_open_license_primary"/>
    <x:tableColumn id="12" name="license_unresolved_primary"/>
    <x:tableColumn id="13" name="domains"/>
    <x:tableColumn id="14" name="term_promotion_eligible"/>
    <x:tableColumn id="15" name="body_status"/>
    <x:tableColumn id="16" name="specialist_algebra_active_bodies"/>
    <x:tableColumn id="17" name="translation_families"/>
    <x:tableColumn id="18" name="variety_cod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rietyCoverage" displayName="VarietyCoverage" ref="A1:R14" headerRowCount="1" totalsRowCount="0" totalsRowShown="0">
  <x:autoFilter ref="A1:R14"/>
  <x:tableColumns count="18">
    <x:tableColumn id="1" name="language"/>
    <x:tableColumn id="2" name="variety_code"/>
    <x:tableColumn id="3" name="records"/>
    <x:tableColumn id="4" name="primary_unique_records"/>
    <x:tableColumn id="5" name="unique_logical_sources"/>
    <x:tableColumn id="6" name="counting_eligible"/>
    <x:tableColumn id="7" name="active_body_eligible"/>
    <x:tableColumn id="8" name="official_lexical_reference_records"/>
    <x:tableColumn id="9" name="bytes"/>
    <x:tableColumn id="10" name="active_body_bytes"/>
    <x:tableColumn id="11" name="all_primary_bytes"/>
    <x:tableColumn id="12" name="declared_open_license_primary"/>
    <x:tableColumn id="13" name="license_unresolved_primary"/>
    <x:tableColumn id="14" name="domains"/>
    <x:tableColumn id="15" name="term_promotion_eligible"/>
    <x:tableColumn id="16" name="body_status"/>
    <x:tableColumn id="17" name="specialist_algebra_active_bodies"/>
    <x:tableColumn id="18" name="translation_famili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jectedEvidence" displayName="RejectedEvidence" ref="A1:D10" headerRowCount="1" totalsRowCount="0" totalsRowShown="0">
  <x:autoFilter ref="A1:D10"/>
  <x:tableColumns count="4">
    <x:tableColumn id="1" name="source"/>
    <x:tableColumn id="2" name="public_locator"/>
    <x:tableColumn id="3" name="locator_visibility"/>
    <x:tableColumn id="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ed55f41a3149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52f1f1356d4a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310cbf89784b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d610bc595b40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3b53f77c1234d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16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16" hidden="0" customWidth="1"/>
    <x:col min="16" max="16" width="30" hidden="0" customWidth="1"/>
    <x:col min="17" max="17" width="16" hidden="0" customWidth="1"/>
    <x:col min="18" max="18" width="13" hidden="0" customWidth="1"/>
    <x:col min="19" max="19" width="19" hidden="0" customWidth="1"/>
    <x:col min="20" max="20" width="19" hidden="0" customWidth="1"/>
    <x:col min="21" max="21" width="16" hidden="0" customWidth="1"/>
    <x:col min="22" max="22" width="34" hidden="0" customWidth="1"/>
    <x:col min="23" max="23" width="34" hidden="0" customWidth="1"/>
    <x:col min="24" max="24" width="16" hidden="0" customWidth="1"/>
    <x:col min="25" max="25" width="30" hidden="0" customWidth="1"/>
    <x:col min="26" max="26" width="30" hidden="0" customWidth="1"/>
    <x:col min="27" max="27" width="30" hidden="0" customWidth="1"/>
    <x:col min="28" max="28" width="19" hidden="0" customWidth="1"/>
    <x:col min="29" max="29" width="30" hidden="0" customWidth="1"/>
    <x:col min="30" max="30" width="14" hidden="0" customWidth="1"/>
    <x:col min="31" max="31" width="14" hidden="0" customWidth="1"/>
    <x:col min="32" max="32" width="14" hidden="0" customWidth="1"/>
    <x:col min="33" max="33" width="30" hidden="0" customWidth="1"/>
    <x:col min="34" max="34" width="13" hidden="0" customWidth="1"/>
    <x:col min="35" max="35" width="14" hidden="0" customWidth="1"/>
    <x:col min="36" max="36" width="16" hidden="0" customWidth="1"/>
    <x:col min="37" max="37" width="14" hidden="0" customWidth="1"/>
    <x:col min="38" max="38" width="14" hidden="0" customWidth="1"/>
    <x:col min="39" max="39" width="20" hidden="0" customWidth="1"/>
    <x:col min="40" max="40" width="30" hidden="0" customWidth="1"/>
    <x:col min="41" max="41" width="14" hidden="0" customWidth="1"/>
    <x:col min="42" max="42" width="20" hidden="0" customWidth="1"/>
    <x:col min="43" max="43" width="19" hidden="0" customWidth="1"/>
  </x:cols>
  <x:sheetData>
    <x:row r="1" ht="32" customHeight="1">
      <x:c r="A1" s="12" t="str">
        <x:v>record_id</x:v>
      </x:c>
      <x:c r="B1" s="12" t="str">
        <x:v>logical_source_id</x:v>
      </x:c>
      <x:c r="C1" s="12" t="str">
        <x:v>language</x:v>
      </x:c>
      <x:c r="D1" s="12" t="str">
        <x:v>variety_code</x:v>
      </x:c>
      <x:c r="E1" s="12" t="str">
        <x:v>standard_or_idiom</x:v>
      </x:c>
      <x:c r="F1" s="12" t="str">
        <x:v>region</x:v>
      </x:c>
      <x:c r="G1" s="12" t="str">
        <x:v>script</x:v>
      </x:c>
      <x:c r="H1" s="12" t="str">
        <x:v>secondary_language</x:v>
      </x:c>
      <x:c r="I1" s="12" t="str">
        <x:v>institution</x:v>
      </x:c>
      <x:c r="J1" s="12" t="str">
        <x:v>publication_date</x:v>
      </x:c>
      <x:c r="K1" s="16" t="str">
        <x:v>retrieved_at</x:v>
      </x:c>
      <x:c r="L1" s="12" t="str">
        <x:v>domain</x:v>
      </x:c>
      <x:c r="M1" s="12" t="str">
        <x:v>domain_tags</x:v>
      </x:c>
      <x:c r="N1" s="12" t="str">
        <x:v>domain_review_status</x:v>
      </x:c>
      <x:c r="O1" s="12" t="str">
        <x:v>register</x:v>
      </x:c>
      <x:c r="P1" s="12" t="str">
        <x:v>title_or_query</x:v>
      </x:c>
      <x:c r="Q1" s="12" t="str">
        <x:v>representation</x:v>
      </x:c>
      <x:c r="R1" s="24" t="str">
        <x:v>source_bytes</x:v>
      </x:c>
      <x:c r="S1" s="12" t="str">
        <x:v>source_sha256</x:v>
      </x:c>
      <x:c r="T1" s="12" t="str">
        <x:v>search_text_sha256</x:v>
      </x:c>
      <x:c r="U1" s="12" t="str">
        <x:v>search_text_contract</x:v>
      </x:c>
      <x:c r="V1" s="12" t="str">
        <x:v>public_upstream_locator</x:v>
      </x:c>
      <x:c r="W1" s="12" t="str">
        <x:v>locator_visibility</x:v>
      </x:c>
      <x:c r="X1" s="12" t="str">
        <x:v>revision_or_version</x:v>
      </x:c>
      <x:c r="Y1" s="12" t="str">
        <x:v>source_use_status</x:v>
      </x:c>
      <x:c r="Z1" s="12" t="str">
        <x:v>license_signal</x:v>
      </x:c>
      <x:c r="AA1" s="12" t="str">
        <x:v>license_status</x:v>
      </x:c>
      <x:c r="AB1" s="12" t="str">
        <x:v>hash_verification</x:v>
      </x:c>
      <x:c r="AC1" s="12" t="str">
        <x:v>sense_review_status</x:v>
      </x:c>
      <x:c r="AD1" s="12" t="str">
        <x:v>corpus_topic_eligible</x:v>
      </x:c>
      <x:c r="AE1" s="12" t="str">
        <x:v>native_source</x:v>
      </x:c>
      <x:c r="AF1" s="12" t="str">
        <x:v>generated</x:v>
      </x:c>
      <x:c r="AG1" s="12" t="str">
        <x:v>dedupe_status</x:v>
      </x:c>
      <x:c r="AH1" s="24" t="str">
        <x:v>counting_eligible</x:v>
      </x:c>
      <x:c r="AI1" s="12" t="str">
        <x:v>term_promotion_eligible</x:v>
      </x:c>
      <x:c r="AJ1" s="12" t="str">
        <x:v>corpus_role</x:v>
      </x:c>
      <x:c r="AK1" s="12" t="str">
        <x:v>active_body_eligible</x:v>
      </x:c>
      <x:c r="AL1" s="12" t="str">
        <x:v>official_lexical_reference</x:v>
      </x:c>
      <x:c r="AM1" s="12" t="str">
        <x:v>translation_family_id</x:v>
      </x:c>
      <x:c r="AN1" s="12" t="str">
        <x:v>translation_sibling_status</x:v>
      </x:c>
      <x:c r="AO1" s="12" t="str">
        <x:v>specialist_algebra_eligible</x:v>
      </x:c>
      <x:c r="AP1" s="12" t="str">
        <x:v>intake_source_id</x:v>
      </x:c>
      <x:c r="AQ1" s="12" t="str">
        <x:v>intake_manifest_sha256</x:v>
      </x:c>
    </x:row>
    <x:row r="2" ht="44" customHeight="1">
      <x:c r="A2" s="14" t="str">
        <x:v>CURATED-RM-RG-GRCH-AP1G-2021-M1</x:v>
      </x:c>
      <x:c r="B2" s="14" t="str">
        <x:v>CURATED-RM-RG-GRCH-AP1G-2021-M1</x:v>
      </x:c>
      <x:c r="C2" s="4" t="str">
        <x:v>rm</x:v>
      </x:c>
      <x:c r="D2" s="4" t="str">
        <x:v>rm-rg</x:v>
      </x:c>
      <x:c r="E2" s="14" t="str">
        <x:v>Rumantsch Grischun</x:v>
      </x:c>
      <x:c r="F2" s="4" t="str">
        <x:v>Graubünden Switzerland</x:v>
      </x:c>
      <x:c r="G2" s="4" t="str">
        <x:v>Latn</x:v>
      </x:c>
      <x:c r="H2" s="4" t="str">
        <x:v>de</x:v>
      </x:c>
      <x:c r="I2" s="4" t="str">
        <x:v>Canton of Graubünden Office for Higher Education</x:v>
      </x:c>
      <x:c r="J2" s="4" t="str">
        <x:v>2021</x:v>
      </x:c>
      <x:c r="K2" s="17" t="n">
        <x:v>46220.79837962963</x:v>
      </x:c>
      <x:c r="L2" s="4" t="str">
        <x:v>mathematics_education</x:v>
      </x:c>
      <x:c r="M2" s="4" t="str">
        <x:v>arithmetic;fractions;geometry;measurement;word_problems;solution_register</x:v>
      </x:c>
      <x:c r="N2" s="14" t="str">
        <x:v>manual_full_text_and_sample_page_review_20260717</x:v>
      </x:c>
      <x:c r="O2" s="4" t="str">
        <x:v>secondary_school_admissions_exam</x:v>
      </x:c>
      <x:c r="P2" s="14" t="str">
        <x:v>Matematica part 1 – quints en scrit (rumantsch grischun)</x:v>
      </x:c>
      <x:c r="Q2" s="4" t="str">
        <x:v>pdf</x:v>
      </x:c>
      <x:c r="R2" s="25" t="str">
        <x:v>1199558</x:v>
      </x:c>
      <x:c r="S2" s="4" t="str">
        <x:v>388B920FC0B3D4D2B55F5157FB85ADE4A3F3B2032A9CB9D16FE1065F99B86ABE</x:v>
      </x:c>
      <x:c r="T2" s="4" t="str">
        <x:v>71668E44E9F00D7D0351DABB6F66FF8DFE9F149C968C1827915558AB68FBD4F2</x:v>
      </x:c>
      <x:c r="U2" s="4" t="str">
        <x:v>derived_visible_text</x:v>
      </x:c>
      <x:c r="V2" s="14" t="str">
        <x:v>https://www.gr.ch/DE/institutionen/verwaltung/ekud/ahb/mittelschulen/dienstleistungen/aufnahmepruefungen/pruefung1g/pruefungsbeispiele1gym/Documents/AP21_1G_M1_RG.pdf</x:v>
      </x:c>
      <x:c r="W2" s="14" t="str">
        <x:v>public_http_locator_preserved</x:v>
      </x:c>
      <x:c r="X2" s="4" t="str">
        <x:v>2021</x:v>
      </x:c>
      <x:c r="Y2" s="14" t="str">
        <x:v>native_official_bilingual_mathematics_exam</x:v>
      </x:c>
      <x:c r="Z2" s="14" t="str">
        <x:v>Official publicly accessible exam PDF; no explicit reuse license located</x:v>
      </x:c>
      <x:c r="AA2" s="14" t="str">
        <x:v>unresolved_no_explicit_reuse_grant</x:v>
      </x:c>
      <x:c r="AB2" s="4" t="str">
        <x:v>match</x:v>
      </x:c>
      <x:c r="AC2" s="14" t="str">
        <x:v>source_topic_reviewed_term_occurrences_require_language_and_sense_review</x:v>
      </x:c>
      <x:c r="AD2" s="4" t="str">
        <x:v>true</x:v>
      </x:c>
      <x:c r="AE2" s="4" t="str">
        <x:v>true</x:v>
      </x:c>
      <x:c r="AF2" s="4" t="str">
        <x:v>false</x:v>
      </x:c>
      <x:c r="AG2" s="14" t="str">
        <x:v>primary_unique</x:v>
      </x:c>
      <x:c r="AH2" s="25" t="str">
        <x:v>true</x:v>
      </x:c>
      <x:c r="AI2" s="4" t="str">
        <x:v>false</x:v>
      </x:c>
      <x:c r="AJ2" s="4" t="str">
        <x:v>active_source_body</x:v>
      </x:c>
      <x:c r="AK2" s="4" t="str">
        <x:v>true</x:v>
      </x:c>
      <x:c r="AL2" s="4" t="str">
        <x:v>false</x:v>
      </x:c>
      <x:c r="AM2" s="14" t="str"/>
      <x:c r="AN2" s="14" t="str">
        <x:v>not_declared</x:v>
      </x:c>
      <x:c r="AO2" s="4" t="str">
        <x:v>false</x:v>
      </x:c>
      <x:c r="AP2" s="14" t="str"/>
      <x:c r="AQ2" s="4" t="str"/>
    </x:row>
    <x:row r="3" ht="44" customHeight="1">
      <x:c r="A3" s="14" t="str">
        <x:v>CURATED-RM-RG-GRCH-AP1G-2024-M1</x:v>
      </x:c>
      <x:c r="B3" s="14" t="str">
        <x:v>CURATED-RM-RG-GRCH-AP1G-2024-M1</x:v>
      </x:c>
      <x:c r="C3" s="4" t="str">
        <x:v>rm</x:v>
      </x:c>
      <x:c r="D3" s="4" t="str">
        <x:v>rm-rg</x:v>
      </x:c>
      <x:c r="E3" s="14" t="str">
        <x:v>Rumantsch Grischun</x:v>
      </x:c>
      <x:c r="F3" s="4" t="str">
        <x:v>Graubünden Switzerland</x:v>
      </x:c>
      <x:c r="G3" s="4" t="str">
        <x:v>Latn</x:v>
      </x:c>
      <x:c r="H3" s="4" t="str">
        <x:v>de</x:v>
      </x:c>
      <x:c r="I3" s="4" t="str">
        <x:v>Canton of Graubünden Office for Higher Education</x:v>
      </x:c>
      <x:c r="J3" s="4" t="str">
        <x:v>2024</x:v>
      </x:c>
      <x:c r="K3" s="17" t="n">
        <x:v>46220.85165509259</x:v>
      </x:c>
      <x:c r="L3" s="4" t="str">
        <x:v>mathematics_education</x:v>
      </x:c>
      <x:c r="M3" s="4" t="str">
        <x:v>arithmetic;fractions;geometry;measurement;word_problems;number_line;exam_instructions</x:v>
      </x:c>
      <x:c r="N3" s="14" t="str">
        <x:v>manual_full_text_keyword_and_sample_page_review_20260717</x:v>
      </x:c>
      <x:c r="O3" s="4" t="str">
        <x:v>secondary_school_admissions_exam</x:v>
      </x:c>
      <x:c r="P3" s="14" t="str">
        <x:v>Matematica part 1 – quints en scrit (rumantsch grischun)</x:v>
      </x:c>
      <x:c r="Q3" s="4" t="str">
        <x:v>pdf</x:v>
      </x:c>
      <x:c r="R3" s="25" t="str">
        <x:v>883275</x:v>
      </x:c>
      <x:c r="S3" s="4" t="str">
        <x:v>71B7D02A7CAF803E434516E3C14274B4D40CBE652D165E3CD7F8794CAC6F55AA</x:v>
      </x:c>
      <x:c r="T3" s="4" t="str">
        <x:v>054378CC16CDEF092407D49B93E1CF93E84DCA6570A3815A3175E7BC5904F649</x:v>
      </x:c>
      <x:c r="U3" s="4" t="str">
        <x:v>derived_visible_text</x:v>
      </x:c>
      <x:c r="V3" s="14" t="str">
        <x:v>https://www.gr.ch/DE/institutionen/verwaltung/ekud/ahb/mittelschulen/dienstleistungen/aufnahmepruefungen/pruefung1g/pruefungsbeispiele1gym/Documents/AP24_1G_M1_RG.pdf</x:v>
      </x:c>
      <x:c r="W3" s="14" t="str">
        <x:v>public_http_locator_preserved</x:v>
      </x:c>
      <x:c r="X3" s="4" t="str">
        <x:v>2024</x:v>
      </x:c>
      <x:c r="Y3" s="14" t="str">
        <x:v>native_official_bilingual_mathematics_exam</x:v>
      </x:c>
      <x:c r="Z3" s="14" t="str">
        <x:v>Official publicly accessible exam PDF; no explicit reuse license located</x:v>
      </x:c>
      <x:c r="AA3" s="14" t="str">
        <x:v>unresolved_no_explicit_reuse_grant</x:v>
      </x:c>
      <x:c r="AB3" s="4" t="str">
        <x:v>match</x:v>
      </x:c>
      <x:c r="AC3" s="14" t="str">
        <x:v>source_topic_reviewed_term_occurrences_require_language_and_sense_review</x:v>
      </x:c>
      <x:c r="AD3" s="4" t="str">
        <x:v>true</x:v>
      </x:c>
      <x:c r="AE3" s="4" t="str">
        <x:v>true</x:v>
      </x:c>
      <x:c r="AF3" s="4" t="str">
        <x:v>false</x:v>
      </x:c>
      <x:c r="AG3" s="14" t="str">
        <x:v>primary_unique</x:v>
      </x:c>
      <x:c r="AH3" s="25" t="str">
        <x:v>true</x:v>
      </x:c>
      <x:c r="AI3" s="4" t="str">
        <x:v>false</x:v>
      </x:c>
      <x:c r="AJ3" s="4" t="str">
        <x:v>active_source_body</x:v>
      </x:c>
      <x:c r="AK3" s="4" t="str">
        <x:v>true</x:v>
      </x:c>
      <x:c r="AL3" s="4" t="str">
        <x:v>false</x:v>
      </x:c>
      <x:c r="AM3" s="14" t="str"/>
      <x:c r="AN3" s="14" t="str">
        <x:v>not_declared</x:v>
      </x:c>
      <x:c r="AO3" s="4" t="str">
        <x:v>false</x:v>
      </x:c>
      <x:c r="AP3" s="14" t="str"/>
      <x:c r="AQ3" s="4" t="str"/>
    </x:row>
    <x:row r="4" ht="44" customHeight="1">
      <x:c r="A4" s="14" t="str">
        <x:v>CURATED-RM-RG-GRCH-AP1G-2024-M2</x:v>
      </x:c>
      <x:c r="B4" s="14" t="str">
        <x:v>CURATED-RM-RG-GRCH-AP1G-2024-M2</x:v>
      </x:c>
      <x:c r="C4" s="4" t="str">
        <x:v>rm</x:v>
      </x:c>
      <x:c r="D4" s="4" t="str">
        <x:v>rm-rg</x:v>
      </x:c>
      <x:c r="E4" s="14" t="str">
        <x:v>Rumantsch Grischun</x:v>
      </x:c>
      <x:c r="F4" s="4" t="str">
        <x:v>Graubünden Switzerland</x:v>
      </x:c>
      <x:c r="G4" s="4" t="str">
        <x:v>Latn</x:v>
      </x:c>
      <x:c r="H4" s="4" t="str">
        <x:v>de</x:v>
      </x:c>
      <x:c r="I4" s="4" t="str">
        <x:v>Canton of Graubünden Office for Higher Education</x:v>
      </x:c>
      <x:c r="J4" s="4" t="str">
        <x:v>2024</x:v>
      </x:c>
      <x:c r="K4" s="17" t="n">
        <x:v>46220.85165509259</x:v>
      </x:c>
      <x:c r="L4" s="4" t="str">
        <x:v>mathematics_education</x:v>
      </x:c>
      <x:c r="M4" s="4" t="str">
        <x:v>mental_arithmetic;fractions;geometry;measurement;number_line;word_problems;exam_instructions</x:v>
      </x:c>
      <x:c r="N4" s="14" t="str">
        <x:v>manual_full_text_keyword_and_sample_page_review_20260717</x:v>
      </x:c>
      <x:c r="O4" s="4" t="str">
        <x:v>secondary_school_admissions_exam</x:v>
      </x:c>
      <x:c r="P4" s="14" t="str">
        <x:v>Matematica part 2 – quints a chau fixads (rumantsch grischun)</x:v>
      </x:c>
      <x:c r="Q4" s="4" t="str">
        <x:v>pdf</x:v>
      </x:c>
      <x:c r="R4" s="25" t="str">
        <x:v>400096</x:v>
      </x:c>
      <x:c r="S4" s="4" t="str">
        <x:v>1E300CB2AC8177D09FF8A86FA06C64E2005304C4AEAF3CBC9DC1EC0405945B0D</x:v>
      </x:c>
      <x:c r="T4" s="4" t="str">
        <x:v>0D789C2BCCD2DE09A8E193541DB8240210082CBD069913EC5D0DD35096C0EB35</x:v>
      </x:c>
      <x:c r="U4" s="4" t="str">
        <x:v>derived_visible_text</x:v>
      </x:c>
      <x:c r="V4" s="14" t="str">
        <x:v>https://www.gr.ch/DE/institutionen/verwaltung/ekud/ahb/mittelschulen/dienstleistungen/aufnahmepruefungen/pruefung1g/pruefungsbeispiele1gym/Documents/AP24_1G_M2_RG.pdf</x:v>
      </x:c>
      <x:c r="W4" s="14" t="str">
        <x:v>public_http_locator_preserved</x:v>
      </x:c>
      <x:c r="X4" s="4" t="str">
        <x:v>2024</x:v>
      </x:c>
      <x:c r="Y4" s="14" t="str">
        <x:v>native_official_rm_mathematics_exam</x:v>
      </x:c>
      <x:c r="Z4" s="14" t="str">
        <x:v>Official publicly accessible exam PDF; no explicit reuse license located</x:v>
      </x:c>
      <x:c r="AA4" s="14" t="str">
        <x:v>unresolved_no_explicit_reuse_grant</x:v>
      </x:c>
      <x:c r="AB4" s="4" t="str">
        <x:v>match</x:v>
      </x:c>
      <x:c r="AC4" s="14" t="str">
        <x:v>source_topic_reviewed_term_occurrences_require_language_and_sense_review</x:v>
      </x:c>
      <x:c r="AD4" s="4" t="str">
        <x:v>true</x:v>
      </x:c>
      <x:c r="AE4" s="4" t="str">
        <x:v>true</x:v>
      </x:c>
      <x:c r="AF4" s="4" t="str">
        <x:v>false</x:v>
      </x:c>
      <x:c r="AG4" s="14" t="str">
        <x:v>primary_unique</x:v>
      </x:c>
      <x:c r="AH4" s="25" t="str">
        <x:v>true</x:v>
      </x:c>
      <x:c r="AI4" s="4" t="str">
        <x:v>false</x:v>
      </x:c>
      <x:c r="AJ4" s="4" t="str">
        <x:v>active_source_body</x:v>
      </x:c>
      <x:c r="AK4" s="4" t="str">
        <x:v>true</x:v>
      </x:c>
      <x:c r="AL4" s="4" t="str">
        <x:v>false</x:v>
      </x:c>
      <x:c r="AM4" s="14" t="str"/>
      <x:c r="AN4" s="14" t="str">
        <x:v>not_declared</x:v>
      </x:c>
      <x:c r="AO4" s="4" t="str">
        <x:v>false</x:v>
      </x:c>
      <x:c r="AP4" s="14" t="str"/>
      <x:c r="AQ4" s="4" t="str"/>
    </x:row>
    <x:row r="5" ht="44" customHeight="1">
      <x:c r="A5" s="14" t="str">
        <x:v>TRANSFER-0001</x:v>
      </x:c>
      <x:c r="B5" s="14" t="str">
        <x:v>TRANSFER-0911.2903v2-language-source-bodies/romance-germanic-baselines/bodies/french/arxiv_0911_2903v2/0911.2903v2_Exp.1014.B.Keller.tex</x:v>
      </x:c>
      <x:c r="C5" s="4" t="str">
        <x:v>fr</x:v>
      </x:c>
      <x:c r="D5" s="4" t="str">
        <x:v>fr</x:v>
      </x:c>
      <x:c r="E5" s="14" t="str">
        <x:v>standard French</x:v>
      </x:c>
      <x:c r="F5" s="4" t="str">
        <x:v>France and Francophonie</x:v>
      </x:c>
      <x:c r="G5" s="4" t="str">
        <x:v>Latn</x:v>
      </x:c>
      <x:c r="H5" s="4" t="str"/>
      <x:c r="I5" s="4" t="str"/>
      <x:c r="J5" s="4" t="str"/>
      <x:c r="K5" s="17" t="str"/>
      <x:c r="L5" s="4" t="str">
        <x:v>mathematics_mixed</x:v>
      </x:c>
      <x:c r="M5" s="4" t="str">
        <x:v>mathematics_mixed</x:v>
      </x:c>
      <x:c r="N5" s="14" t="str">
        <x:v>transfer_manifest_subject_label_not_page_topic_review</x:v>
      </x:c>
      <x:c r="O5" s="4" t="str">
        <x:v>unresolved_register</x:v>
      </x:c>
      <x:c r="P5" s="14" t="str">
        <x:v>0911.2903v2</x:v>
      </x:c>
      <x:c r="Q5" s="4" t="str">
        <x:v>tex</x:v>
      </x:c>
      <x:c r="R5" s="25" t="str">
        <x:v>94933</x:v>
      </x:c>
      <x:c r="S5" s="4" t="str">
        <x:v>73390B421593C602CCCB45B88EF9FC4AC29831A7684187D95DF9DD0D29D811FF</x:v>
      </x:c>
      <x:c r="T5" s="4" t="str">
        <x:v>73390B421593C602CCCB45B88EF9FC4AC29831A7684187D95DF9DD0D29D811FF</x:v>
      </x:c>
      <x:c r="U5" s="4" t="str">
        <x:v>source_file_is_canonical_search_text</x:v>
      </x:c>
      <x:c r="V5" s="14" t="str"/>
      <x:c r="W5" s="14" t="str">
        <x:v>local_or_non_http_locator_omitted</x:v>
      </x:c>
      <x:c r="X5" s="4" t="str">
        <x:v>recovered_transfer_20260706</x:v>
      </x:c>
      <x:c r="Y5" s="14" t="str">
        <x:v>native-source-body</x:v>
      </x:c>
      <x:c r="Z5" s="14" t="str">
        <x:v>arXiv HTML license href http://arxiv.org/licenses/nonexclusive-distrib/1.0/; TeX href /src/0911.2903; arXiv API license field blank; no license-clearance claim</x:v>
      </x:c>
      <x:c r="AA5" s="14" t="str">
        <x:v>arxiv_distribution_license_not_reuse_clear</x:v>
      </x:c>
      <x:c r="AB5" s="4" t="str">
        <x:v>match</x:v>
      </x:c>
      <x:c r="AC5" s="14" t="str">
        <x:v>not_term_sense_reviewed</x:v>
      </x:c>
      <x:c r="AD5" s="4" t="str">
        <x:v>true</x:v>
      </x:c>
      <x:c r="AE5" s="4" t="str">
        <x:v>true</x:v>
      </x:c>
      <x:c r="AF5" s="4" t="str">
        <x:v>false</x:v>
      </x:c>
      <x:c r="AG5" s="14" t="str">
        <x:v>primary_unique</x:v>
      </x:c>
      <x:c r="AH5" s="25" t="str">
        <x:v>true</x:v>
      </x:c>
      <x:c r="AI5" s="4" t="str">
        <x:v>false</x:v>
      </x:c>
      <x:c r="AJ5" s="4" t="str">
        <x:v>active_source_body</x:v>
      </x:c>
      <x:c r="AK5" s="4" t="str">
        <x:v>true</x:v>
      </x:c>
      <x:c r="AL5" s="4" t="str">
        <x:v>false</x:v>
      </x:c>
      <x:c r="AM5" s="14" t="str"/>
      <x:c r="AN5" s="14" t="str">
        <x:v>not_declared</x:v>
      </x:c>
      <x:c r="AO5" s="4" t="str">
        <x:v>false</x:v>
      </x:c>
      <x:c r="AP5" s="14" t="str"/>
      <x:c r="AQ5" s="4" t="str"/>
    </x:row>
    <x:row r="6" ht="44" customHeight="1">
      <x:c r="A6" s="14" t="str">
        <x:v>TRANSFER-0025</x:v>
      </x:c>
      <x:c r="B6" s="14" t="str">
        <x:v>TRANSFER-1312.6798v1-language-source-bodies/romance-germanic-baselines/bodies/spanish/arxiv_1312_6798v1/1312.6798v1_uqc.tex</x:v>
      </x:c>
      <x:c r="C6" s="4" t="str">
        <x:v>es</x:v>
      </x:c>
      <x:c r="D6" s="4" t="str">
        <x:v>es</x:v>
      </x:c>
      <x:c r="E6" s="14" t="str">
        <x:v>standard Spanish</x:v>
      </x:c>
      <x:c r="F6" s="4" t="str">
        <x:v>Spain and Americas</x:v>
      </x:c>
      <x:c r="G6" s="4" t="str">
        <x:v>Latn</x:v>
      </x:c>
      <x:c r="H6" s="4" t="str"/>
      <x:c r="I6" s="4" t="str"/>
      <x:c r="J6" s="4" t="str"/>
      <x:c r="K6" s="17" t="str"/>
      <x:c r="L6" s="4" t="str">
        <x:v>mathematics_mixed</x:v>
      </x:c>
      <x:c r="M6" s="4" t="str">
        <x:v>mathematics_mixed</x:v>
      </x:c>
      <x:c r="N6" s="14" t="str">
        <x:v>transfer_manifest_subject_label_not_page_topic_review</x:v>
      </x:c>
      <x:c r="O6" s="4" t="str">
        <x:v>unresolved_register</x:v>
      </x:c>
      <x:c r="P6" s="14" t="str">
        <x:v>1312.6798v1</x:v>
      </x:c>
      <x:c r="Q6" s="4" t="str">
        <x:v>tex</x:v>
      </x:c>
      <x:c r="R6" s="25" t="str">
        <x:v>65255</x:v>
      </x:c>
      <x:c r="S6" s="4" t="str">
        <x:v>0C26CC9B4DA307FB85A3EB40559693F7CB3CF694894D8E83644F527FDFB7AD7B</x:v>
      </x:c>
      <x:c r="T6" s="4" t="str">
        <x:v>0C26CC9B4DA307FB85A3EB40559693F7CB3CF694894D8E83644F527FDFB7AD7B</x:v>
      </x:c>
      <x:c r="U6" s="4" t="str">
        <x:v>source_file_is_canonical_search_text</x:v>
      </x:c>
      <x:c r="V6" s="14" t="str"/>
      <x:c r="W6" s="14" t="str">
        <x:v>local_or_non_http_locator_omitted</x:v>
      </x:c>
      <x:c r="X6" s="4" t="str">
        <x:v>recovered_transfer_20260706</x:v>
      </x:c>
      <x:c r="Y6" s="14" t="str">
        <x:v>native-source-body</x:v>
      </x:c>
      <x:c r="Z6" s="14" t="str">
        <x:v>local source body copied; license/access signal not independently cleared</x:v>
      </x:c>
      <x:c r="AA6" s="14" t="str">
        <x:v>unresolved</x:v>
      </x:c>
      <x:c r="AB6" s="4" t="str">
        <x:v>match</x:v>
      </x:c>
      <x:c r="AC6" s="14" t="str">
        <x:v>not_term_sense_reviewed</x:v>
      </x:c>
      <x:c r="AD6" s="4" t="str">
        <x:v>true</x:v>
      </x:c>
      <x:c r="AE6" s="4" t="str">
        <x:v>true</x:v>
      </x:c>
      <x:c r="AF6" s="4" t="str">
        <x:v>false</x:v>
      </x:c>
      <x:c r="AG6" s="14" t="str">
        <x:v>primary_unique</x:v>
      </x:c>
      <x:c r="AH6" s="25" t="str">
        <x:v>true</x:v>
      </x:c>
      <x:c r="AI6" s="4" t="str">
        <x:v>false</x:v>
      </x:c>
      <x:c r="AJ6" s="4" t="str">
        <x:v>active_source_body</x:v>
      </x:c>
      <x:c r="AK6" s="4" t="str">
        <x:v>true</x:v>
      </x:c>
      <x:c r="AL6" s="4" t="str">
        <x:v>false</x:v>
      </x:c>
      <x:c r="AM6" s="14" t="str"/>
      <x:c r="AN6" s="14" t="str">
        <x:v>not_declared</x:v>
      </x:c>
      <x:c r="AO6" s="4" t="str">
        <x:v>false</x:v>
      </x:c>
      <x:c r="AP6" s="14" t="str"/>
      <x:c r="AQ6" s="4" t="str"/>
    </x:row>
    <x:row r="7" ht="44" customHeight="1">
      <x:c r="A7" s="14" t="str">
        <x:v>TRANSFER-0010</x:v>
      </x:c>
      <x:c r="B7" s="14" t="str">
        <x:v>TRANSFER-1508.04495v1-language-source-bodies/romance-germanic-baselines/bodies/french/arxiv_1508_04495v1/1508.04495v1_Ext_ACT.tex</x:v>
      </x:c>
      <x:c r="C7" s="4" t="str">
        <x:v>fr</x:v>
      </x:c>
      <x:c r="D7" s="4" t="str">
        <x:v>fr</x:v>
      </x:c>
      <x:c r="E7" s="14" t="str">
        <x:v>standard French</x:v>
      </x:c>
      <x:c r="F7" s="4" t="str">
        <x:v>France and Francophonie</x:v>
      </x:c>
      <x:c r="G7" s="4" t="str">
        <x:v>Latn</x:v>
      </x:c>
      <x:c r="H7" s="4" t="str"/>
      <x:c r="I7" s="4" t="str"/>
      <x:c r="J7" s="4" t="str"/>
      <x:c r="K7" s="17" t="str"/>
      <x:c r="L7" s="4" t="str">
        <x:v>mathematics_mixed</x:v>
      </x:c>
      <x:c r="M7" s="4" t="str">
        <x:v>mathematics_mixed</x:v>
      </x:c>
      <x:c r="N7" s="14" t="str">
        <x:v>transfer_manifest_subject_label_not_page_topic_review</x:v>
      </x:c>
      <x:c r="O7" s="4" t="str">
        <x:v>unresolved_register</x:v>
      </x:c>
      <x:c r="P7" s="14" t="str">
        <x:v>1508.04495v1</x:v>
      </x:c>
      <x:c r="Q7" s="4" t="str">
        <x:v>tex</x:v>
      </x:c>
      <x:c r="R7" s="25" t="str">
        <x:v>8401</x:v>
      </x:c>
      <x:c r="S7" s="4" t="str">
        <x:v>6A81F06B41B52BE13440ECAFB85096390C8FA20B8C0BEAD0E1677B52465C852E</x:v>
      </x:c>
      <x:c r="T7" s="4" t="str">
        <x:v>6A81F06B41B52BE13440ECAFB85096390C8FA20B8C0BEAD0E1677B52465C852E</x:v>
      </x:c>
      <x:c r="U7" s="4" t="str">
        <x:v>source_file_is_canonical_search_text</x:v>
      </x:c>
      <x:c r="V7" s="14" t="str"/>
      <x:c r="W7" s="14" t="str">
        <x:v>local_or_non_http_locator_omitted</x:v>
      </x:c>
      <x:c r="X7" s="4" t="str">
        <x:v>recovered_transfer_20260706</x:v>
      </x:c>
      <x:c r="Y7" s="14" t="str">
        <x:v>native-source-body</x:v>
      </x:c>
      <x:c r="Z7" s="14" t="str">
        <x:v>arXiv HTML license href http://arxiv.org/licenses/nonexclusive-distrib/1.0/; TeX href /src/1508.04495; arXiv API license field blank; no license-clearance claim</x:v>
      </x:c>
      <x:c r="AA7" s="14" t="str">
        <x:v>arxiv_distribution_license_not_reuse_clear</x:v>
      </x:c>
      <x:c r="AB7" s="4" t="str">
        <x:v>match</x:v>
      </x:c>
      <x:c r="AC7" s="14" t="str">
        <x:v>not_term_sense_reviewed</x:v>
      </x:c>
      <x:c r="AD7" s="4" t="str">
        <x:v>true</x:v>
      </x:c>
      <x:c r="AE7" s="4" t="str">
        <x:v>true</x:v>
      </x:c>
      <x:c r="AF7" s="4" t="str">
        <x:v>false</x:v>
      </x:c>
      <x:c r="AG7" s="14" t="str">
        <x:v>primary_unique</x:v>
      </x:c>
      <x:c r="AH7" s="25" t="str">
        <x:v>true</x:v>
      </x:c>
      <x:c r="AI7" s="4" t="str">
        <x:v>false</x:v>
      </x:c>
      <x:c r="AJ7" s="4" t="str">
        <x:v>active_source_body</x:v>
      </x:c>
      <x:c r="AK7" s="4" t="str">
        <x:v>true</x:v>
      </x:c>
      <x:c r="AL7" s="4" t="str">
        <x:v>false</x:v>
      </x:c>
      <x:c r="AM7" s="14" t="str"/>
      <x:c r="AN7" s="14" t="str">
        <x:v>not_declared</x:v>
      </x:c>
      <x:c r="AO7" s="4" t="str">
        <x:v>false</x:v>
      </x:c>
      <x:c r="AP7" s="14" t="str"/>
      <x:c r="AQ7" s="4" t="str"/>
    </x:row>
    <x:row r="8" ht="44" customHeight="1">
      <x:c r="A8" s="14" t="str">
        <x:v>TRANSFER-0002</x:v>
      </x:c>
      <x:c r="B8" s="14" t="str">
        <x:v>TRANSFER-1508.04495v1-language-source-bodies/romance-germanic-baselines/bodies/french/arxiv_1508_04495v1/1508.04495v1_abstract.tex</x:v>
      </x:c>
      <x:c r="C8" s="4" t="str">
        <x:v>fr</x:v>
      </x:c>
      <x:c r="D8" s="4" t="str">
        <x:v>fr</x:v>
      </x:c>
      <x:c r="E8" s="14" t="str">
        <x:v>standard French</x:v>
      </x:c>
      <x:c r="F8" s="4" t="str">
        <x:v>France and Francophonie</x:v>
      </x:c>
      <x:c r="G8" s="4" t="str">
        <x:v>Latn</x:v>
      </x:c>
      <x:c r="H8" s="4" t="str"/>
      <x:c r="I8" s="4" t="str"/>
      <x:c r="J8" s="4" t="str"/>
      <x:c r="K8" s="17" t="str"/>
      <x:c r="L8" s="4" t="str">
        <x:v>mathematics_mixed</x:v>
      </x:c>
      <x:c r="M8" s="4" t="str">
        <x:v>mathematics_mixed</x:v>
      </x:c>
      <x:c r="N8" s="14" t="str">
        <x:v>transfer_manifest_subject_label_not_page_topic_review</x:v>
      </x:c>
      <x:c r="O8" s="4" t="str">
        <x:v>unresolved_register</x:v>
      </x:c>
      <x:c r="P8" s="14" t="str">
        <x:v>1508.04495v1</x:v>
      </x:c>
      <x:c r="Q8" s="4" t="str">
        <x:v>tex</x:v>
      </x:c>
      <x:c r="R8" s="25" t="str">
        <x:v>973</x:v>
      </x:c>
      <x:c r="S8" s="4" t="str">
        <x:v>B6FCC6A08703DB10576D80FA867961E0E8B32EE228E0D71B2E86E160D51EB508</x:v>
      </x:c>
      <x:c r="T8" s="4" t="str">
        <x:v>B6FCC6A08703DB10576D80FA867961E0E8B32EE228E0D71B2E86E160D51EB508</x:v>
      </x:c>
      <x:c r="U8" s="4" t="str">
        <x:v>source_file_is_canonical_search_text</x:v>
      </x:c>
      <x:c r="V8" s="14" t="str"/>
      <x:c r="W8" s="14" t="str">
        <x:v>local_or_non_http_locator_omitted</x:v>
      </x:c>
      <x:c r="X8" s="4" t="str">
        <x:v>recovered_transfer_20260706</x:v>
      </x:c>
      <x:c r="Y8" s="14" t="str">
        <x:v>native-source-body</x:v>
      </x:c>
      <x:c r="Z8" s="14" t="str">
        <x:v>arXiv HTML license href http://arxiv.org/licenses/nonexclusive-distrib/1.0/; TeX href /src/1508.04495; arXiv API license field blank; no license-clearance claim</x:v>
      </x:c>
      <x:c r="AA8" s="14" t="str">
        <x:v>arxiv_distribution_license_not_reuse_clear</x:v>
      </x:c>
      <x:c r="AB8" s="4" t="str">
        <x:v>match</x:v>
      </x:c>
      <x:c r="AC8" s="14" t="str">
        <x:v>not_term_sense_reviewed</x:v>
      </x:c>
      <x:c r="AD8" s="4" t="str">
        <x:v>true</x:v>
      </x:c>
      <x:c r="AE8" s="4" t="str">
        <x:v>true</x:v>
      </x:c>
      <x:c r="AF8" s="4" t="str">
        <x:v>false</x:v>
      </x:c>
      <x:c r="AG8" s="14" t="str">
        <x:v>primary_unique</x:v>
      </x:c>
      <x:c r="AH8" s="25" t="str">
        <x:v>true</x:v>
      </x:c>
      <x:c r="AI8" s="4" t="str">
        <x:v>false</x:v>
      </x:c>
      <x:c r="AJ8" s="4" t="str">
        <x:v>active_source_body</x:v>
      </x:c>
      <x:c r="AK8" s="4" t="str">
        <x:v>true</x:v>
      </x:c>
      <x:c r="AL8" s="4" t="str">
        <x:v>false</x:v>
      </x:c>
      <x:c r="AM8" s="14" t="str"/>
      <x:c r="AN8" s="14" t="str">
        <x:v>not_declared</x:v>
      </x:c>
      <x:c r="AO8" s="4" t="str">
        <x:v>false</x:v>
      </x:c>
      <x:c r="AP8" s="14" t="str"/>
      <x:c r="AQ8" s="4" t="str"/>
    </x:row>
    <x:row r="9" ht="44" customHeight="1">
      <x:c r="A9" s="14" t="str">
        <x:v>TRANSFER-0003</x:v>
      </x:c>
      <x:c r="B9" s="14" t="str">
        <x:v>TRANSFER-1508.04495v1-language-source-bodies/romance-germanic-baselines/bodies/french/arxiv_1508_04495v1/1508.04495v1_annexeA.tex</x:v>
      </x:c>
      <x:c r="C9" s="4" t="str">
        <x:v>fr</x:v>
      </x:c>
      <x:c r="D9" s="4" t="str">
        <x:v>fr</x:v>
      </x:c>
      <x:c r="E9" s="14" t="str">
        <x:v>standard French</x:v>
      </x:c>
      <x:c r="F9" s="4" t="str">
        <x:v>France and Francophonie</x:v>
      </x:c>
      <x:c r="G9" s="4" t="str">
        <x:v>Latn</x:v>
      </x:c>
      <x:c r="H9" s="4" t="str"/>
      <x:c r="I9" s="4" t="str"/>
      <x:c r="J9" s="4" t="str"/>
      <x:c r="K9" s="17" t="str"/>
      <x:c r="L9" s="4" t="str">
        <x:v>mathematics_mixed</x:v>
      </x:c>
      <x:c r="M9" s="4" t="str">
        <x:v>mathematics_mixed</x:v>
      </x:c>
      <x:c r="N9" s="14" t="str">
        <x:v>transfer_manifest_subject_label_not_page_topic_review</x:v>
      </x:c>
      <x:c r="O9" s="4" t="str">
        <x:v>unresolved_register</x:v>
      </x:c>
      <x:c r="P9" s="14" t="str">
        <x:v>1508.04495v1</x:v>
      </x:c>
      <x:c r="Q9" s="4" t="str">
        <x:v>tex</x:v>
      </x:c>
      <x:c r="R9" s="25" t="str">
        <x:v>14382</x:v>
      </x:c>
      <x:c r="S9" s="4" t="str">
        <x:v>B70390149B359B112C82429C48B0D3EB10271DEE9FAD0B7E19FF8CDFDA4CC88B</x:v>
      </x:c>
      <x:c r="T9" s="4" t="str">
        <x:v>B70390149B359B112C82429C48B0D3EB10271DEE9FAD0B7E19FF8CDFDA4CC88B</x:v>
      </x:c>
      <x:c r="U9" s="4" t="str">
        <x:v>source_file_is_canonical_search_text</x:v>
      </x:c>
      <x:c r="V9" s="14" t="str"/>
      <x:c r="W9" s="14" t="str">
        <x:v>local_or_non_http_locator_omitted</x:v>
      </x:c>
      <x:c r="X9" s="4" t="str">
        <x:v>recovered_transfer_20260706</x:v>
      </x:c>
      <x:c r="Y9" s="14" t="str">
        <x:v>native-source-body</x:v>
      </x:c>
      <x:c r="Z9" s="14" t="str">
        <x:v>arXiv HTML license href http://arxiv.org/licenses/nonexclusive-distrib/1.0/; TeX href /src/1508.04495; arXiv API license field blank; no license-clearance claim</x:v>
      </x:c>
      <x:c r="AA9" s="14" t="str">
        <x:v>arxiv_distribution_license_not_reuse_clear</x:v>
      </x:c>
      <x:c r="AB9" s="4" t="str">
        <x:v>match</x:v>
      </x:c>
      <x:c r="AC9" s="14" t="str">
        <x:v>not_term_sense_reviewed</x:v>
      </x:c>
      <x:c r="AD9" s="4" t="str">
        <x:v>true</x:v>
      </x:c>
      <x:c r="AE9" s="4" t="str">
        <x:v>true</x:v>
      </x:c>
      <x:c r="AF9" s="4" t="str">
        <x:v>false</x:v>
      </x:c>
      <x:c r="AG9" s="14" t="str">
        <x:v>primary_unique</x:v>
      </x:c>
      <x:c r="AH9" s="25" t="str">
        <x:v>true</x:v>
      </x:c>
      <x:c r="AI9" s="4" t="str">
        <x:v>false</x:v>
      </x:c>
      <x:c r="AJ9" s="4" t="str">
        <x:v>active_source_body</x:v>
      </x:c>
      <x:c r="AK9" s="4" t="str">
        <x:v>true</x:v>
      </x:c>
      <x:c r="AL9" s="4" t="str">
        <x:v>false</x:v>
      </x:c>
      <x:c r="AM9" s="14" t="str"/>
      <x:c r="AN9" s="14" t="str">
        <x:v>not_declared</x:v>
      </x:c>
      <x:c r="AO9" s="4" t="str">
        <x:v>false</x:v>
      </x:c>
      <x:c r="AP9" s="14" t="str"/>
      <x:c r="AQ9" s="4" t="str"/>
    </x:row>
    <x:row r="10" ht="44" customHeight="1">
      <x:c r="A10" s="14" t="str">
        <x:v>TRANSFER-0004</x:v>
      </x:c>
      <x:c r="B10" s="14" t="str">
        <x:v>TRANSFER-1508.04495v1-language-source-bodies/romance-germanic-baselines/bodies/french/arxiv_1508_04495v1/1508.04495v1_annexeB.tex</x:v>
      </x:c>
      <x:c r="C10" s="4" t="str">
        <x:v>fr</x:v>
      </x:c>
      <x:c r="D10" s="4" t="str">
        <x:v>fr</x:v>
      </x:c>
      <x:c r="E10" s="14" t="str">
        <x:v>standard French</x:v>
      </x:c>
      <x:c r="F10" s="4" t="str">
        <x:v>France and Francophonie</x:v>
      </x:c>
      <x:c r="G10" s="4" t="str">
        <x:v>Latn</x:v>
      </x:c>
      <x:c r="H10" s="4" t="str"/>
      <x:c r="I10" s="4" t="str"/>
      <x:c r="J10" s="4" t="str"/>
      <x:c r="K10" s="17" t="str"/>
      <x:c r="L10" s="4" t="str">
        <x:v>mathematics_mixed</x:v>
      </x:c>
      <x:c r="M10" s="4" t="str">
        <x:v>mathematics_mixed</x:v>
      </x:c>
      <x:c r="N10" s="14" t="str">
        <x:v>transfer_manifest_subject_label_not_page_topic_review</x:v>
      </x:c>
      <x:c r="O10" s="4" t="str">
        <x:v>unresolved_register</x:v>
      </x:c>
      <x:c r="P10" s="14" t="str">
        <x:v>1508.04495v1</x:v>
      </x:c>
      <x:c r="Q10" s="4" t="str">
        <x:v>tex</x:v>
      </x:c>
      <x:c r="R10" s="25" t="str">
        <x:v>7178</x:v>
      </x:c>
      <x:c r="S10" s="4" t="str">
        <x:v>A87A204A8010BA13CD8AD6BCB9593B3D7E470108667EDE2EE590D1E5C36BF687</x:v>
      </x:c>
      <x:c r="T10" s="4" t="str">
        <x:v>A87A204A8010BA13CD8AD6BCB9593B3D7E470108667EDE2EE590D1E5C36BF687</x:v>
      </x:c>
      <x:c r="U10" s="4" t="str">
        <x:v>source_file_is_canonical_search_text</x:v>
      </x:c>
      <x:c r="V10" s="14" t="str"/>
      <x:c r="W10" s="14" t="str">
        <x:v>local_or_non_http_locator_omitted</x:v>
      </x:c>
      <x:c r="X10" s="4" t="str">
        <x:v>recovered_transfer_20260706</x:v>
      </x:c>
      <x:c r="Y10" s="14" t="str">
        <x:v>native-source-body</x:v>
      </x:c>
      <x:c r="Z10" s="14" t="str">
        <x:v>arXiv HTML license href http://arxiv.org/licenses/nonexclusive-distrib/1.0/; TeX href /src/1508.04495; arXiv API license field blank; no license-clearance claim</x:v>
      </x:c>
      <x:c r="AA10" s="14" t="str">
        <x:v>arxiv_distribution_license_not_reuse_clear</x:v>
      </x:c>
      <x:c r="AB10" s="4" t="str">
        <x:v>match</x:v>
      </x:c>
      <x:c r="AC10" s="14" t="str">
        <x:v>not_term_sense_reviewed</x:v>
      </x:c>
      <x:c r="AD10" s="4" t="str">
        <x:v>true</x:v>
      </x:c>
      <x:c r="AE10" s="4" t="str">
        <x:v>true</x:v>
      </x:c>
      <x:c r="AF10" s="4" t="str">
        <x:v>false</x:v>
      </x:c>
      <x:c r="AG10" s="14" t="str">
        <x:v>primary_unique</x:v>
      </x:c>
      <x:c r="AH10" s="25" t="str">
        <x:v>true</x:v>
      </x:c>
      <x:c r="AI10" s="4" t="str">
        <x:v>false</x:v>
      </x:c>
      <x:c r="AJ10" s="4" t="str">
        <x:v>active_source_body</x:v>
      </x:c>
      <x:c r="AK10" s="4" t="str">
        <x:v>true</x:v>
      </x:c>
      <x:c r="AL10" s="4" t="str">
        <x:v>false</x:v>
      </x:c>
      <x:c r="AM10" s="14" t="str"/>
      <x:c r="AN10" s="14" t="str">
        <x:v>not_declared</x:v>
      </x:c>
      <x:c r="AO10" s="4" t="str">
        <x:v>false</x:v>
      </x:c>
      <x:c r="AP10" s="14" t="str"/>
      <x:c r="AQ10" s="4" t="str"/>
    </x:row>
    <x:row r="11" ht="44" customHeight="1">
      <x:c r="A11" s="14" t="str">
        <x:v>TRANSFER-0005</x:v>
      </x:c>
      <x:c r="B11" s="14" t="str">
        <x:v>TRANSFER-1508.04495v1-language-source-bodies/romance-germanic-baselines/bodies/french/arxiv_1508_04495v1/1508.04495v1_avantpropos.tex</x:v>
      </x:c>
      <x:c r="C11" s="4" t="str">
        <x:v>fr</x:v>
      </x:c>
      <x:c r="D11" s="4" t="str">
        <x:v>fr</x:v>
      </x:c>
      <x:c r="E11" s="14" t="str">
        <x:v>standard French</x:v>
      </x:c>
      <x:c r="F11" s="4" t="str">
        <x:v>France and Francophonie</x:v>
      </x:c>
      <x:c r="G11" s="4" t="str">
        <x:v>Latn</x:v>
      </x:c>
      <x:c r="H11" s="4" t="str"/>
      <x:c r="I11" s="4" t="str"/>
      <x:c r="J11" s="4" t="str"/>
      <x:c r="K11" s="17" t="str"/>
      <x:c r="L11" s="4" t="str">
        <x:v>mathematics_mixed</x:v>
      </x:c>
      <x:c r="M11" s="4" t="str">
        <x:v>mathematics_mixed</x:v>
      </x:c>
      <x:c r="N11" s="14" t="str">
        <x:v>transfer_manifest_subject_label_not_page_topic_review</x:v>
      </x:c>
      <x:c r="O11" s="4" t="str">
        <x:v>unresolved_register</x:v>
      </x:c>
      <x:c r="P11" s="14" t="str">
        <x:v>1508.04495v1</x:v>
      </x:c>
      <x:c r="Q11" s="4" t="str">
        <x:v>tex</x:v>
      </x:c>
      <x:c r="R11" s="25" t="str">
        <x:v>2833</x:v>
      </x:c>
      <x:c r="S11" s="4" t="str">
        <x:v>6C3ED9DDF1B010B6D4DBDDEEA7812DD17F30EF144BD9F50888962F793E41761C</x:v>
      </x:c>
      <x:c r="T11" s="4" t="str">
        <x:v>6C3ED9DDF1B010B6D4DBDDEEA7812DD17F30EF144BD9F50888962F793E41761C</x:v>
      </x:c>
      <x:c r="U11" s="4" t="str">
        <x:v>source_file_is_canonical_search_text</x:v>
      </x:c>
      <x:c r="V11" s="14" t="str"/>
      <x:c r="W11" s="14" t="str">
        <x:v>local_or_non_http_locator_omitted</x:v>
      </x:c>
      <x:c r="X11" s="4" t="str">
        <x:v>recovered_transfer_20260706</x:v>
      </x:c>
      <x:c r="Y11" s="14" t="str">
        <x:v>native-source-body</x:v>
      </x:c>
      <x:c r="Z11" s="14" t="str">
        <x:v>arXiv HTML license href http://arxiv.org/licenses/nonexclusive-distrib/1.0/; TeX href /src/1508.04495; arXiv API license field blank; no license-clearance claim</x:v>
      </x:c>
      <x:c r="AA11" s="14" t="str">
        <x:v>arxiv_distribution_license_not_reuse_clear</x:v>
      </x:c>
      <x:c r="AB11" s="4" t="str">
        <x:v>match</x:v>
      </x:c>
      <x:c r="AC11" s="14" t="str">
        <x:v>not_term_sense_reviewed</x:v>
      </x:c>
      <x:c r="AD11" s="4" t="str">
        <x:v>true</x:v>
      </x:c>
      <x:c r="AE11" s="4" t="str">
        <x:v>true</x:v>
      </x:c>
      <x:c r="AF11" s="4" t="str">
        <x:v>false</x:v>
      </x:c>
      <x:c r="AG11" s="14" t="str">
        <x:v>primary_unique</x:v>
      </x:c>
      <x:c r="AH11" s="25" t="str">
        <x:v>true</x:v>
      </x:c>
      <x:c r="AI11" s="4" t="str">
        <x:v>false</x:v>
      </x:c>
      <x:c r="AJ11" s="4" t="str">
        <x:v>active_source_body</x:v>
      </x:c>
      <x:c r="AK11" s="4" t="str">
        <x:v>true</x:v>
      </x:c>
      <x:c r="AL11" s="4" t="str">
        <x:v>false</x:v>
      </x:c>
      <x:c r="AM11" s="14" t="str"/>
      <x:c r="AN11" s="14" t="str">
        <x:v>not_declared</x:v>
      </x:c>
      <x:c r="AO11" s="4" t="str">
        <x:v>false</x:v>
      </x:c>
      <x:c r="AP11" s="14" t="str"/>
      <x:c r="AQ11" s="4" t="str"/>
    </x:row>
    <x:row r="12" ht="44" customHeight="1">
      <x:c r="A12" s="14" t="str">
        <x:v>TRANSFER-0006</x:v>
      </x:c>
      <x:c r="B12" s="14" t="str">
        <x:v>TRANSFER-1508.04495v1-language-source-bodies/romance-germanic-baselines/bodies/french/arxiv_1508_04495v1/1508.04495v1_chapitre1.tex</x:v>
      </x:c>
      <x:c r="C12" s="4" t="str">
        <x:v>fr</x:v>
      </x:c>
      <x:c r="D12" s="4" t="str">
        <x:v>fr</x:v>
      </x:c>
      <x:c r="E12" s="14" t="str">
        <x:v>standard French</x:v>
      </x:c>
      <x:c r="F12" s="4" t="str">
        <x:v>France and Francophonie</x:v>
      </x:c>
      <x:c r="G12" s="4" t="str">
        <x:v>Latn</x:v>
      </x:c>
      <x:c r="H12" s="4" t="str"/>
      <x:c r="I12" s="4" t="str"/>
      <x:c r="J12" s="4" t="str"/>
      <x:c r="K12" s="17" t="str"/>
      <x:c r="L12" s="4" t="str">
        <x:v>mathematics_mixed</x:v>
      </x:c>
      <x:c r="M12" s="4" t="str">
        <x:v>mathematics_mixed</x:v>
      </x:c>
      <x:c r="N12" s="14" t="str">
        <x:v>transfer_manifest_subject_label_not_page_topic_review</x:v>
      </x:c>
      <x:c r="O12" s="4" t="str">
        <x:v>unresolved_register</x:v>
      </x:c>
      <x:c r="P12" s="14" t="str">
        <x:v>1508.04495v1</x:v>
      </x:c>
      <x:c r="Q12" s="4" t="str">
        <x:v>tex</x:v>
      </x:c>
      <x:c r="R12" s="25" t="str">
        <x:v>28956</x:v>
      </x:c>
      <x:c r="S12" s="4" t="str">
        <x:v>34AB8D749F6B9198FCD63A0E3B44ACF27BA3DA37FC6C60188B371BF39F41488E</x:v>
      </x:c>
      <x:c r="T12" s="4" t="str">
        <x:v>34AB8D749F6B9198FCD63A0E3B44ACF27BA3DA37FC6C60188B371BF39F41488E</x:v>
      </x:c>
      <x:c r="U12" s="4" t="str">
        <x:v>source_file_is_canonical_search_text</x:v>
      </x:c>
      <x:c r="V12" s="14" t="str"/>
      <x:c r="W12" s="14" t="str">
        <x:v>local_or_non_http_locator_omitted</x:v>
      </x:c>
      <x:c r="X12" s="4" t="str">
        <x:v>recovered_transfer_20260706</x:v>
      </x:c>
      <x:c r="Y12" s="14" t="str">
        <x:v>native-source-body</x:v>
      </x:c>
      <x:c r="Z12" s="14" t="str">
        <x:v>arXiv HTML license href http://arxiv.org/licenses/nonexclusive-distrib/1.0/; TeX href /src/1508.04495; arXiv API license field blank; no license-clearance claim</x:v>
      </x:c>
      <x:c r="AA12" s="14" t="str">
        <x:v>arxiv_distribution_license_not_reuse_clear</x:v>
      </x:c>
      <x:c r="AB12" s="4" t="str">
        <x:v>match</x:v>
      </x:c>
      <x:c r="AC12" s="14" t="str">
        <x:v>not_term_sense_reviewed</x:v>
      </x:c>
      <x:c r="AD12" s="4" t="str">
        <x:v>true</x:v>
      </x:c>
      <x:c r="AE12" s="4" t="str">
        <x:v>true</x:v>
      </x:c>
      <x:c r="AF12" s="4" t="str">
        <x:v>false</x:v>
      </x:c>
      <x:c r="AG12" s="14" t="str">
        <x:v>primary_unique</x:v>
      </x:c>
      <x:c r="AH12" s="25" t="str">
        <x:v>true</x:v>
      </x:c>
      <x:c r="AI12" s="4" t="str">
        <x:v>false</x:v>
      </x:c>
      <x:c r="AJ12" s="4" t="str">
        <x:v>active_source_body</x:v>
      </x:c>
      <x:c r="AK12" s="4" t="str">
        <x:v>true</x:v>
      </x:c>
      <x:c r="AL12" s="4" t="str">
        <x:v>false</x:v>
      </x:c>
      <x:c r="AM12" s="14" t="str"/>
      <x:c r="AN12" s="14" t="str">
        <x:v>not_declared</x:v>
      </x:c>
      <x:c r="AO12" s="4" t="str">
        <x:v>false</x:v>
      </x:c>
      <x:c r="AP12" s="14" t="str"/>
      <x:c r="AQ12" s="4" t="str"/>
    </x:row>
    <x:row r="13" ht="44" customHeight="1">
      <x:c r="A13" s="14" t="str">
        <x:v>TRANSFER-0007</x:v>
      </x:c>
      <x:c r="B13" s="14" t="str">
        <x:v>TRANSFER-1508.04495v1-language-source-bodies/romance-germanic-baselines/bodies/french/arxiv_1508_04495v1/1508.04495v1_chapitre2.tex</x:v>
      </x:c>
      <x:c r="C13" s="4" t="str">
        <x:v>fr</x:v>
      </x:c>
      <x:c r="D13" s="4" t="str">
        <x:v>fr</x:v>
      </x:c>
      <x:c r="E13" s="14" t="str">
        <x:v>standard French</x:v>
      </x:c>
      <x:c r="F13" s="4" t="str">
        <x:v>France and Francophonie</x:v>
      </x:c>
      <x:c r="G13" s="4" t="str">
        <x:v>Latn</x:v>
      </x:c>
      <x:c r="H13" s="4" t="str"/>
      <x:c r="I13" s="4" t="str"/>
      <x:c r="J13" s="4" t="str"/>
      <x:c r="K13" s="17" t="str"/>
      <x:c r="L13" s="4" t="str">
        <x:v>mathematics_mixed</x:v>
      </x:c>
      <x:c r="M13" s="4" t="str">
        <x:v>mathematics_mixed</x:v>
      </x:c>
      <x:c r="N13" s="14" t="str">
        <x:v>transfer_manifest_subject_label_not_page_topic_review</x:v>
      </x:c>
      <x:c r="O13" s="4" t="str">
        <x:v>unresolved_register</x:v>
      </x:c>
      <x:c r="P13" s="14" t="str">
        <x:v>1508.04495v1</x:v>
      </x:c>
      <x:c r="Q13" s="4" t="str">
        <x:v>tex</x:v>
      </x:c>
      <x:c r="R13" s="25" t="str">
        <x:v>183245</x:v>
      </x:c>
      <x:c r="S13" s="4" t="str">
        <x:v>F94DCBA4304BABE70B5AD846902B1FBC8927025CF7E74E91C774AD62157F67AD</x:v>
      </x:c>
      <x:c r="T13" s="4" t="str">
        <x:v>F94DCBA4304BABE70B5AD846902B1FBC8927025CF7E74E91C774AD62157F67AD</x:v>
      </x:c>
      <x:c r="U13" s="4" t="str">
        <x:v>source_file_is_canonical_search_text</x:v>
      </x:c>
      <x:c r="V13" s="14" t="str"/>
      <x:c r="W13" s="14" t="str">
        <x:v>local_or_non_http_locator_omitted</x:v>
      </x:c>
      <x:c r="X13" s="4" t="str">
        <x:v>recovered_transfer_20260706</x:v>
      </x:c>
      <x:c r="Y13" s="14" t="str">
        <x:v>native-source-body</x:v>
      </x:c>
      <x:c r="Z13" s="14" t="str">
        <x:v>arXiv HTML license href http://arxiv.org/licenses/nonexclusive-distrib/1.0/; TeX href /src/1508.04495; arXiv API license field blank; no license-clearance claim</x:v>
      </x:c>
      <x:c r="AA13" s="14" t="str">
        <x:v>arxiv_distribution_license_not_reuse_clear</x:v>
      </x:c>
      <x:c r="AB13" s="4" t="str">
        <x:v>match</x:v>
      </x:c>
      <x:c r="AC13" s="14" t="str">
        <x:v>not_term_sense_reviewed</x:v>
      </x:c>
      <x:c r="AD13" s="4" t="str">
        <x:v>true</x:v>
      </x:c>
      <x:c r="AE13" s="4" t="str">
        <x:v>true</x:v>
      </x:c>
      <x:c r="AF13" s="4" t="str">
        <x:v>false</x:v>
      </x:c>
      <x:c r="AG13" s="14" t="str">
        <x:v>primary_unique</x:v>
      </x:c>
      <x:c r="AH13" s="25" t="str">
        <x:v>true</x:v>
      </x:c>
      <x:c r="AI13" s="4" t="str">
        <x:v>false</x:v>
      </x:c>
      <x:c r="AJ13" s="4" t="str">
        <x:v>active_source_body</x:v>
      </x:c>
      <x:c r="AK13" s="4" t="str">
        <x:v>true</x:v>
      </x:c>
      <x:c r="AL13" s="4" t="str">
        <x:v>false</x:v>
      </x:c>
      <x:c r="AM13" s="14" t="str"/>
      <x:c r="AN13" s="14" t="str">
        <x:v>not_declared</x:v>
      </x:c>
      <x:c r="AO13" s="4" t="str">
        <x:v>false</x:v>
      </x:c>
      <x:c r="AP13" s="14" t="str"/>
      <x:c r="AQ13" s="4" t="str"/>
    </x:row>
    <x:row r="14" ht="44" customHeight="1">
      <x:c r="A14" s="14" t="str">
        <x:v>TRANSFER-0008</x:v>
      </x:c>
      <x:c r="B14" s="14" t="str">
        <x:v>TRANSFER-1508.04495v1-language-source-bodies/romance-germanic-baselines/bodies/french/arxiv_1508_04495v1/1508.04495v1_chapitre3.tex</x:v>
      </x:c>
      <x:c r="C14" s="4" t="str">
        <x:v>fr</x:v>
      </x:c>
      <x:c r="D14" s="4" t="str">
        <x:v>fr</x:v>
      </x:c>
      <x:c r="E14" s="14" t="str">
        <x:v>standard French</x:v>
      </x:c>
      <x:c r="F14" s="4" t="str">
        <x:v>France and Francophonie</x:v>
      </x:c>
      <x:c r="G14" s="4" t="str">
        <x:v>Latn</x:v>
      </x:c>
      <x:c r="H14" s="4" t="str"/>
      <x:c r="I14" s="4" t="str"/>
      <x:c r="J14" s="4" t="str"/>
      <x:c r="K14" s="17" t="str"/>
      <x:c r="L14" s="4" t="str">
        <x:v>mathematics_mixed</x:v>
      </x:c>
      <x:c r="M14" s="4" t="str">
        <x:v>mathematics_mixed</x:v>
      </x:c>
      <x:c r="N14" s="14" t="str">
        <x:v>transfer_manifest_subject_label_not_page_topic_review</x:v>
      </x:c>
      <x:c r="O14" s="4" t="str">
        <x:v>unresolved_register</x:v>
      </x:c>
      <x:c r="P14" s="14" t="str">
        <x:v>1508.04495v1</x:v>
      </x:c>
      <x:c r="Q14" s="4" t="str">
        <x:v>tex</x:v>
      </x:c>
      <x:c r="R14" s="25" t="str">
        <x:v>39162</x:v>
      </x:c>
      <x:c r="S14" s="4" t="str">
        <x:v>1F95C04BE1959DDAEC3AF3566D9F39D38B815C88FCFBA1BDCA0BBCDE5D88D63E</x:v>
      </x:c>
      <x:c r="T14" s="4" t="str">
        <x:v>1F95C04BE1959DDAEC3AF3566D9F39D38B815C88FCFBA1BDCA0BBCDE5D88D63E</x:v>
      </x:c>
      <x:c r="U14" s="4" t="str">
        <x:v>source_file_is_canonical_search_text</x:v>
      </x:c>
      <x:c r="V14" s="14" t="str"/>
      <x:c r="W14" s="14" t="str">
        <x:v>local_or_non_http_locator_omitted</x:v>
      </x:c>
      <x:c r="X14" s="4" t="str">
        <x:v>recovered_transfer_20260706</x:v>
      </x:c>
      <x:c r="Y14" s="14" t="str">
        <x:v>native-source-body</x:v>
      </x:c>
      <x:c r="Z14" s="14" t="str">
        <x:v>arXiv HTML license href http://arxiv.org/licenses/nonexclusive-distrib/1.0/; TeX href /src/1508.04495; arXiv API license field blank; no license-clearance claim</x:v>
      </x:c>
      <x:c r="AA14" s="14" t="str">
        <x:v>arxiv_distribution_license_not_reuse_clear</x:v>
      </x:c>
      <x:c r="AB14" s="4" t="str">
        <x:v>match</x:v>
      </x:c>
      <x:c r="AC14" s="14" t="str">
        <x:v>not_term_sense_reviewed</x:v>
      </x:c>
      <x:c r="AD14" s="4" t="str">
        <x:v>true</x:v>
      </x:c>
      <x:c r="AE14" s="4" t="str">
        <x:v>true</x:v>
      </x:c>
      <x:c r="AF14" s="4" t="str">
        <x:v>false</x:v>
      </x:c>
      <x:c r="AG14" s="14" t="str">
        <x:v>primary_unique</x:v>
      </x:c>
      <x:c r="AH14" s="25" t="str">
        <x:v>true</x:v>
      </x:c>
      <x:c r="AI14" s="4" t="str">
        <x:v>false</x:v>
      </x:c>
      <x:c r="AJ14" s="4" t="str">
        <x:v>active_source_body</x:v>
      </x:c>
      <x:c r="AK14" s="4" t="str">
        <x:v>true</x:v>
      </x:c>
      <x:c r="AL14" s="4" t="str">
        <x:v>false</x:v>
      </x:c>
      <x:c r="AM14" s="14" t="str"/>
      <x:c r="AN14" s="14" t="str">
        <x:v>not_declared</x:v>
      </x:c>
      <x:c r="AO14" s="4" t="str">
        <x:v>false</x:v>
      </x:c>
      <x:c r="AP14" s="14" t="str"/>
      <x:c r="AQ14" s="4" t="str"/>
    </x:row>
    <x:row r="15" ht="44" customHeight="1">
      <x:c r="A15" s="14" t="str">
        <x:v>TRANSFER-0009</x:v>
      </x:c>
      <x:c r="B15" s="14" t="str">
        <x:v>TRANSFER-1508.04495v1-language-source-bodies/romance-germanic-baselines/bodies/french/arxiv_1508_04495v1/1508.04495v1_conclusion.tex</x:v>
      </x:c>
      <x:c r="C15" s="4" t="str">
        <x:v>fr</x:v>
      </x:c>
      <x:c r="D15" s="4" t="str">
        <x:v>fr</x:v>
      </x:c>
      <x:c r="E15" s="14" t="str">
        <x:v>standard French</x:v>
      </x:c>
      <x:c r="F15" s="4" t="str">
        <x:v>France and Francophonie</x:v>
      </x:c>
      <x:c r="G15" s="4" t="str">
        <x:v>Latn</x:v>
      </x:c>
      <x:c r="H15" s="4" t="str"/>
      <x:c r="I15" s="4" t="str"/>
      <x:c r="J15" s="4" t="str"/>
      <x:c r="K15" s="17" t="str"/>
      <x:c r="L15" s="4" t="str">
        <x:v>mathematics_mixed</x:v>
      </x:c>
      <x:c r="M15" s="4" t="str">
        <x:v>mathematics_mixed</x:v>
      </x:c>
      <x:c r="N15" s="14" t="str">
        <x:v>transfer_manifest_subject_label_not_page_topic_review</x:v>
      </x:c>
      <x:c r="O15" s="4" t="str">
        <x:v>unresolved_register</x:v>
      </x:c>
      <x:c r="P15" s="14" t="str">
        <x:v>1508.04495v1</x:v>
      </x:c>
      <x:c r="Q15" s="4" t="str">
        <x:v>tex</x:v>
      </x:c>
      <x:c r="R15" s="25" t="str">
        <x:v>3551</x:v>
      </x:c>
      <x:c r="S15" s="4" t="str">
        <x:v>774E5101CFE5E90CD73DB673432D48AE65CCA930C6DB51F6B344FCA062452637</x:v>
      </x:c>
      <x:c r="T15" s="4" t="str">
        <x:v>774E5101CFE5E90CD73DB673432D48AE65CCA930C6DB51F6B344FCA062452637</x:v>
      </x:c>
      <x:c r="U15" s="4" t="str">
        <x:v>source_file_is_canonical_search_text</x:v>
      </x:c>
      <x:c r="V15" s="14" t="str"/>
      <x:c r="W15" s="14" t="str">
        <x:v>local_or_non_http_locator_omitted</x:v>
      </x:c>
      <x:c r="X15" s="4" t="str">
        <x:v>recovered_transfer_20260706</x:v>
      </x:c>
      <x:c r="Y15" s="14" t="str">
        <x:v>native-source-body</x:v>
      </x:c>
      <x:c r="Z15" s="14" t="str">
        <x:v>arXiv HTML license href http://arxiv.org/licenses/nonexclusive-distrib/1.0/; TeX href /src/1508.04495; arXiv API license field blank; no license-clearance claim</x:v>
      </x:c>
      <x:c r="AA15" s="14" t="str">
        <x:v>arxiv_distribution_license_not_reuse_clear</x:v>
      </x:c>
      <x:c r="AB15" s="4" t="str">
        <x:v>match</x:v>
      </x:c>
      <x:c r="AC15" s="14" t="str">
        <x:v>not_term_sense_reviewed</x:v>
      </x:c>
      <x:c r="AD15" s="4" t="str">
        <x:v>true</x:v>
      </x:c>
      <x:c r="AE15" s="4" t="str">
        <x:v>true</x:v>
      </x:c>
      <x:c r="AF15" s="4" t="str">
        <x:v>false</x:v>
      </x:c>
      <x:c r="AG15" s="14" t="str">
        <x:v>primary_unique</x:v>
      </x:c>
      <x:c r="AH15" s="25" t="str">
        <x:v>true</x:v>
      </x:c>
      <x:c r="AI15" s="4" t="str">
        <x:v>false</x:v>
      </x:c>
      <x:c r="AJ15" s="4" t="str">
        <x:v>active_source_body</x:v>
      </x:c>
      <x:c r="AK15" s="4" t="str">
        <x:v>true</x:v>
      </x:c>
      <x:c r="AL15" s="4" t="str">
        <x:v>false</x:v>
      </x:c>
      <x:c r="AM15" s="14" t="str"/>
      <x:c r="AN15" s="14" t="str">
        <x:v>not_declared</x:v>
      </x:c>
      <x:c r="AO15" s="4" t="str">
        <x:v>false</x:v>
      </x:c>
      <x:c r="AP15" s="14" t="str"/>
      <x:c r="AQ15" s="4" t="str"/>
    </x:row>
    <x:row r="16" ht="44" customHeight="1">
      <x:c r="A16" s="14" t="str">
        <x:v>TRANSFER-0011</x:v>
      </x:c>
      <x:c r="B16" s="14" t="str">
        <x:v>TRANSFER-1508.04495v1-language-source-bodies/romance-germanic-baselines/bodies/french/arxiv_1508_04495v1/1508.04495v1_introduction.tex</x:v>
      </x:c>
      <x:c r="C16" s="4" t="str">
        <x:v>fr</x:v>
      </x:c>
      <x:c r="D16" s="4" t="str">
        <x:v>fr</x:v>
      </x:c>
      <x:c r="E16" s="14" t="str">
        <x:v>standard French</x:v>
      </x:c>
      <x:c r="F16" s="4" t="str">
        <x:v>France and Francophonie</x:v>
      </x:c>
      <x:c r="G16" s="4" t="str">
        <x:v>Latn</x:v>
      </x:c>
      <x:c r="H16" s="4" t="str"/>
      <x:c r="I16" s="4" t="str"/>
      <x:c r="J16" s="4" t="str"/>
      <x:c r="K16" s="17" t="str"/>
      <x:c r="L16" s="4" t="str">
        <x:v>mathematics_mixed</x:v>
      </x:c>
      <x:c r="M16" s="4" t="str">
        <x:v>mathematics_mixed</x:v>
      </x:c>
      <x:c r="N16" s="14" t="str">
        <x:v>transfer_manifest_subject_label_not_page_topic_review</x:v>
      </x:c>
      <x:c r="O16" s="4" t="str">
        <x:v>unresolved_register</x:v>
      </x:c>
      <x:c r="P16" s="14" t="str">
        <x:v>1508.04495v1</x:v>
      </x:c>
      <x:c r="Q16" s="4" t="str">
        <x:v>tex</x:v>
      </x:c>
      <x:c r="R16" s="25" t="str">
        <x:v>6066</x:v>
      </x:c>
      <x:c r="S16" s="4" t="str">
        <x:v>D75D460C5D8EC83FA1C9566BC15AD85C040BD17CBCA8A3158D5AC0D22C80AB48</x:v>
      </x:c>
      <x:c r="T16" s="4" t="str">
        <x:v>D75D460C5D8EC83FA1C9566BC15AD85C040BD17CBCA8A3158D5AC0D22C80AB48</x:v>
      </x:c>
      <x:c r="U16" s="4" t="str">
        <x:v>source_file_is_canonical_search_text</x:v>
      </x:c>
      <x:c r="V16" s="14" t="str"/>
      <x:c r="W16" s="14" t="str">
        <x:v>local_or_non_http_locator_omitted</x:v>
      </x:c>
      <x:c r="X16" s="4" t="str">
        <x:v>recovered_transfer_20260706</x:v>
      </x:c>
      <x:c r="Y16" s="14" t="str">
        <x:v>native-source-body</x:v>
      </x:c>
      <x:c r="Z16" s="14" t="str">
        <x:v>arXiv HTML license href http://arxiv.org/licenses/nonexclusive-distrib/1.0/; TeX href /src/1508.04495; arXiv API license field blank; no license-clearance claim</x:v>
      </x:c>
      <x:c r="AA16" s="14" t="str">
        <x:v>arxiv_distribution_license_not_reuse_clear</x:v>
      </x:c>
      <x:c r="AB16" s="4" t="str">
        <x:v>match</x:v>
      </x:c>
      <x:c r="AC16" s="14" t="str">
        <x:v>not_term_sense_reviewed</x:v>
      </x:c>
      <x:c r="AD16" s="4" t="str">
        <x:v>true</x:v>
      </x:c>
      <x:c r="AE16" s="4" t="str">
        <x:v>true</x:v>
      </x:c>
      <x:c r="AF16" s="4" t="str">
        <x:v>false</x:v>
      </x:c>
      <x:c r="AG16" s="14" t="str">
        <x:v>primary_unique</x:v>
      </x:c>
      <x:c r="AH16" s="25" t="str">
        <x:v>true</x:v>
      </x:c>
      <x:c r="AI16" s="4" t="str">
        <x:v>false</x:v>
      </x:c>
      <x:c r="AJ16" s="4" t="str">
        <x:v>active_source_body</x:v>
      </x:c>
      <x:c r="AK16" s="4" t="str">
        <x:v>true</x:v>
      </x:c>
      <x:c r="AL16" s="4" t="str">
        <x:v>false</x:v>
      </x:c>
      <x:c r="AM16" s="14" t="str"/>
      <x:c r="AN16" s="14" t="str">
        <x:v>not_declared</x:v>
      </x:c>
      <x:c r="AO16" s="4" t="str">
        <x:v>false</x:v>
      </x:c>
      <x:c r="AP16" s="14" t="str"/>
      <x:c r="AQ16" s="4" t="str"/>
    </x:row>
    <x:row r="17" ht="44" customHeight="1">
      <x:c r="A17" s="14" t="str">
        <x:v>TRANSFER-0012</x:v>
      </x:c>
      <x:c r="B17" s="14" t="str">
        <x:v>TRANSFER-1508.04495v1-language-source-bodies/romance-germanic-baselines/bodies/french/arxiv_1508_04495v1/1508.04495v1_remerciements.tex</x:v>
      </x:c>
      <x:c r="C17" s="4" t="str">
        <x:v>fr</x:v>
      </x:c>
      <x:c r="D17" s="4" t="str">
        <x:v>fr</x:v>
      </x:c>
      <x:c r="E17" s="14" t="str">
        <x:v>standard French</x:v>
      </x:c>
      <x:c r="F17" s="4" t="str">
        <x:v>France and Francophonie</x:v>
      </x:c>
      <x:c r="G17" s="4" t="str">
        <x:v>Latn</x:v>
      </x:c>
      <x:c r="H17" s="4" t="str"/>
      <x:c r="I17" s="4" t="str"/>
      <x:c r="J17" s="4" t="str"/>
      <x:c r="K17" s="17" t="str"/>
      <x:c r="L17" s="4" t="str">
        <x:v>mathematics_mixed</x:v>
      </x:c>
      <x:c r="M17" s="4" t="str">
        <x:v>mathematics_mixed</x:v>
      </x:c>
      <x:c r="N17" s="14" t="str">
        <x:v>transfer_manifest_subject_label_not_page_topic_review</x:v>
      </x:c>
      <x:c r="O17" s="4" t="str">
        <x:v>unresolved_register</x:v>
      </x:c>
      <x:c r="P17" s="14" t="str">
        <x:v>1508.04495v1</x:v>
      </x:c>
      <x:c r="Q17" s="4" t="str">
        <x:v>tex</x:v>
      </x:c>
      <x:c r="R17" s="25" t="str">
        <x:v>168</x:v>
      </x:c>
      <x:c r="S17" s="4" t="str">
        <x:v>6A0B0C8325968F33B73C481918880F8DE4C638BE5A56DA1135540ADBF6A23634</x:v>
      </x:c>
      <x:c r="T17" s="4" t="str">
        <x:v>6A0B0C8325968F33B73C481918880F8DE4C638BE5A56DA1135540ADBF6A23634</x:v>
      </x:c>
      <x:c r="U17" s="4" t="str">
        <x:v>source_file_is_canonical_search_text</x:v>
      </x:c>
      <x:c r="V17" s="14" t="str"/>
      <x:c r="W17" s="14" t="str">
        <x:v>local_or_non_http_locator_omitted</x:v>
      </x:c>
      <x:c r="X17" s="4" t="str">
        <x:v>recovered_transfer_20260706</x:v>
      </x:c>
      <x:c r="Y17" s="14" t="str">
        <x:v>native-source-body</x:v>
      </x:c>
      <x:c r="Z17" s="14" t="str">
        <x:v>arXiv HTML license href http://arxiv.org/licenses/nonexclusive-distrib/1.0/; TeX href /src/1508.04495; arXiv API license field blank; no license-clearance claim</x:v>
      </x:c>
      <x:c r="AA17" s="14" t="str">
        <x:v>arxiv_distribution_license_not_reuse_clear</x:v>
      </x:c>
      <x:c r="AB17" s="4" t="str">
        <x:v>match</x:v>
      </x:c>
      <x:c r="AC17" s="14" t="str">
        <x:v>not_term_sense_reviewed</x:v>
      </x:c>
      <x:c r="AD17" s="4" t="str">
        <x:v>true</x:v>
      </x:c>
      <x:c r="AE17" s="4" t="str">
        <x:v>true</x:v>
      </x:c>
      <x:c r="AF17" s="4" t="str">
        <x:v>false</x:v>
      </x:c>
      <x:c r="AG17" s="14" t="str">
        <x:v>primary_unique</x:v>
      </x:c>
      <x:c r="AH17" s="25" t="str">
        <x:v>true</x:v>
      </x:c>
      <x:c r="AI17" s="4" t="str">
        <x:v>false</x:v>
      </x:c>
      <x:c r="AJ17" s="4" t="str">
        <x:v>active_source_body</x:v>
      </x:c>
      <x:c r="AK17" s="4" t="str">
        <x:v>true</x:v>
      </x:c>
      <x:c r="AL17" s="4" t="str">
        <x:v>false</x:v>
      </x:c>
      <x:c r="AM17" s="14" t="str"/>
      <x:c r="AN17" s="14" t="str">
        <x:v>not_declared</x:v>
      </x:c>
      <x:c r="AO17" s="4" t="str">
        <x:v>false</x:v>
      </x:c>
      <x:c r="AP17" s="14" t="str"/>
      <x:c r="AQ17" s="4" t="str"/>
    </x:row>
    <x:row r="18" ht="44" customHeight="1">
      <x:c r="A18" s="14" t="str">
        <x:v>TRANSFER-0013</x:v>
      </x:c>
      <x:c r="B18" s="14" t="str">
        <x:v>TRANSFER-1508.04495v1-language-source-bodies/romance-germanic-baselines/bodies/french/arxiv_1508_04495v1/1508.04495v1_resume.tex</x:v>
      </x:c>
      <x:c r="C18" s="4" t="str">
        <x:v>fr</x:v>
      </x:c>
      <x:c r="D18" s="4" t="str">
        <x:v>fr</x:v>
      </x:c>
      <x:c r="E18" s="14" t="str">
        <x:v>standard French</x:v>
      </x:c>
      <x:c r="F18" s="4" t="str">
        <x:v>France and Francophonie</x:v>
      </x:c>
      <x:c r="G18" s="4" t="str">
        <x:v>Latn</x:v>
      </x:c>
      <x:c r="H18" s="4" t="str"/>
      <x:c r="I18" s="4" t="str"/>
      <x:c r="J18" s="4" t="str"/>
      <x:c r="K18" s="17" t="str"/>
      <x:c r="L18" s="4" t="str">
        <x:v>mathematics_mixed</x:v>
      </x:c>
      <x:c r="M18" s="4" t="str">
        <x:v>mathematics_mixed</x:v>
      </x:c>
      <x:c r="N18" s="14" t="str">
        <x:v>transfer_manifest_subject_label_not_page_topic_review</x:v>
      </x:c>
      <x:c r="O18" s="4" t="str">
        <x:v>unresolved_register</x:v>
      </x:c>
      <x:c r="P18" s="14" t="str">
        <x:v>1508.04495v1</x:v>
      </x:c>
      <x:c r="Q18" s="4" t="str">
        <x:v>tex</x:v>
      </x:c>
      <x:c r="R18" s="25" t="str">
        <x:v>1038</x:v>
      </x:c>
      <x:c r="S18" s="4" t="str">
        <x:v>2F58EBE545FAB973511C26AB563DBBDB239963AD095540EB9C1B4935C330D0AE</x:v>
      </x:c>
      <x:c r="T18" s="4" t="str">
        <x:v>2F58EBE545FAB973511C26AB563DBBDB239963AD095540EB9C1B4935C330D0AE</x:v>
      </x:c>
      <x:c r="U18" s="4" t="str">
        <x:v>source_file_is_canonical_search_text</x:v>
      </x:c>
      <x:c r="V18" s="14" t="str"/>
      <x:c r="W18" s="14" t="str">
        <x:v>local_or_non_http_locator_omitted</x:v>
      </x:c>
      <x:c r="X18" s="4" t="str">
        <x:v>recovered_transfer_20260706</x:v>
      </x:c>
      <x:c r="Y18" s="14" t="str">
        <x:v>native-source-body</x:v>
      </x:c>
      <x:c r="Z18" s="14" t="str">
        <x:v>arXiv HTML license href http://arxiv.org/licenses/nonexclusive-distrib/1.0/; TeX href /src/1508.04495; arXiv API license field blank; no license-clearance claim</x:v>
      </x:c>
      <x:c r="AA18" s="14" t="str">
        <x:v>arxiv_distribution_license_not_reuse_clear</x:v>
      </x:c>
      <x:c r="AB18" s="4" t="str">
        <x:v>match</x:v>
      </x:c>
      <x:c r="AC18" s="14" t="str">
        <x:v>not_term_sense_reviewed</x:v>
      </x:c>
      <x:c r="AD18" s="4" t="str">
        <x:v>true</x:v>
      </x:c>
      <x:c r="AE18" s="4" t="str">
        <x:v>true</x:v>
      </x:c>
      <x:c r="AF18" s="4" t="str">
        <x:v>false</x:v>
      </x:c>
      <x:c r="AG18" s="14" t="str">
        <x:v>primary_unique</x:v>
      </x:c>
      <x:c r="AH18" s="25" t="str">
        <x:v>true</x:v>
      </x:c>
      <x:c r="AI18" s="4" t="str">
        <x:v>false</x:v>
      </x:c>
      <x:c r="AJ18" s="4" t="str">
        <x:v>active_source_body</x:v>
      </x:c>
      <x:c r="AK18" s="4" t="str">
        <x:v>true</x:v>
      </x:c>
      <x:c r="AL18" s="4" t="str">
        <x:v>false</x:v>
      </x:c>
      <x:c r="AM18" s="14" t="str"/>
      <x:c r="AN18" s="14" t="str">
        <x:v>not_declared</x:v>
      </x:c>
      <x:c r="AO18" s="4" t="str">
        <x:v>false</x:v>
      </x:c>
      <x:c r="AP18" s="14" t="str"/>
      <x:c r="AQ18" s="4" t="str"/>
    </x:row>
    <x:row r="19" ht="44" customHeight="1">
      <x:c r="A19" s="14" t="str">
        <x:v>TRANSFER-0014</x:v>
      </x:c>
      <x:c r="B19" s="14" t="str">
        <x:v>TRANSFER-1712.04728v2-language-source-bodies/romance-germanic-baselines/bodies/french/arxiv_1712_04728v2/1712.04728v2_GoingFrench.tex</x:v>
      </x:c>
      <x:c r="C19" s="4" t="str">
        <x:v>fr</x:v>
      </x:c>
      <x:c r="D19" s="4" t="str">
        <x:v>fr</x:v>
      </x:c>
      <x:c r="E19" s="14" t="str">
        <x:v>standard French</x:v>
      </x:c>
      <x:c r="F19" s="4" t="str">
        <x:v>France and Francophonie</x:v>
      </x:c>
      <x:c r="G19" s="4" t="str">
        <x:v>Latn</x:v>
      </x:c>
      <x:c r="H19" s="4" t="str"/>
      <x:c r="I19" s="4" t="str"/>
      <x:c r="J19" s="4" t="str"/>
      <x:c r="K19" s="17" t="str"/>
      <x:c r="L19" s="4" t="str">
        <x:v>mathematics_mixed</x:v>
      </x:c>
      <x:c r="M19" s="4" t="str">
        <x:v>mathematics_mixed</x:v>
      </x:c>
      <x:c r="N19" s="14" t="str">
        <x:v>transfer_manifest_subject_label_not_page_topic_review</x:v>
      </x:c>
      <x:c r="O19" s="4" t="str">
        <x:v>unresolved_register</x:v>
      </x:c>
      <x:c r="P19" s="14" t="str">
        <x:v>1712.04728v2</x:v>
      </x:c>
      <x:c r="Q19" s="4" t="str">
        <x:v>tex</x:v>
      </x:c>
      <x:c r="R19" s="25" t="str">
        <x:v>231970</x:v>
      </x:c>
      <x:c r="S19" s="4" t="str">
        <x:v>0C621CE96BE32CDABAA46C5AB8B14CEC4E43E5BBFC1EC6E6271BBF3945923BC7</x:v>
      </x:c>
      <x:c r="T19" s="4" t="str">
        <x:v>0C621CE96BE32CDABAA46C5AB8B14CEC4E43E5BBFC1EC6E6271BBF3945923BC7</x:v>
      </x:c>
      <x:c r="U19" s="4" t="str">
        <x:v>source_file_is_canonical_search_text</x:v>
      </x:c>
      <x:c r="V19" s="14" t="str"/>
      <x:c r="W19" s="14" t="str">
        <x:v>local_or_non_http_locator_omitted</x:v>
      </x:c>
      <x:c r="X19" s="4" t="str">
        <x:v>recovered_transfer_20260706</x:v>
      </x:c>
      <x:c r="Y19" s="14" t="str">
        <x:v>native-source-body</x:v>
      </x:c>
      <x:c r="Z19" s="14" t="str">
        <x:v>arXiv HTML license href http://arxiv.org/licenses/nonexclusive-distrib/1.0/; TeX href /src/1712.04728; arXiv API license field blank; no license-clearance claim</x:v>
      </x:c>
      <x:c r="AA19" s="14" t="str">
        <x:v>arxiv_distribution_license_not_reuse_clear</x:v>
      </x:c>
      <x:c r="AB19" s="4" t="str">
        <x:v>match</x:v>
      </x:c>
      <x:c r="AC19" s="14" t="str">
        <x:v>not_term_sense_reviewed</x:v>
      </x:c>
      <x:c r="AD19" s="4" t="str">
        <x:v>true</x:v>
      </x:c>
      <x:c r="AE19" s="4" t="str">
        <x:v>true</x:v>
      </x:c>
      <x:c r="AF19" s="4" t="str">
        <x:v>false</x:v>
      </x:c>
      <x:c r="AG19" s="14" t="str">
        <x:v>primary_unique</x:v>
      </x:c>
      <x:c r="AH19" s="25" t="str">
        <x:v>true</x:v>
      </x:c>
      <x:c r="AI19" s="4" t="str">
        <x:v>false</x:v>
      </x:c>
      <x:c r="AJ19" s="4" t="str">
        <x:v>active_source_body</x:v>
      </x:c>
      <x:c r="AK19" s="4" t="str">
        <x:v>true</x:v>
      </x:c>
      <x:c r="AL19" s="4" t="str">
        <x:v>false</x:v>
      </x:c>
      <x:c r="AM19" s="14" t="str"/>
      <x:c r="AN19" s="14" t="str">
        <x:v>not_declared</x:v>
      </x:c>
      <x:c r="AO19" s="4" t="str">
        <x:v>false</x:v>
      </x:c>
      <x:c r="AP19" s="14" t="str"/>
      <x:c r="AQ19" s="4" t="str"/>
    </x:row>
    <x:row r="20" ht="44" customHeight="1">
      <x:c r="A20" s="14" t="str">
        <x:v>TRANSFER-0015</x:v>
      </x:c>
      <x:c r="B20" s="14" t="str">
        <x:v>TRANSFER-1712.04728v2-language-source-bodies/romance-germanic-baselines/bodies/french/arxiv_1712_04728v2/1712.04728v2_GoingUpDownFrench-2018.tex</x:v>
      </x:c>
      <x:c r="C20" s="4" t="str">
        <x:v>fr</x:v>
      </x:c>
      <x:c r="D20" s="4" t="str">
        <x:v>fr</x:v>
      </x:c>
      <x:c r="E20" s="14" t="str">
        <x:v>standard French</x:v>
      </x:c>
      <x:c r="F20" s="4" t="str">
        <x:v>France and Francophonie</x:v>
      </x:c>
      <x:c r="G20" s="4" t="str">
        <x:v>Latn</x:v>
      </x:c>
      <x:c r="H20" s="4" t="str"/>
      <x:c r="I20" s="4" t="str"/>
      <x:c r="J20" s="4" t="str"/>
      <x:c r="K20" s="17" t="str"/>
      <x:c r="L20" s="4" t="str">
        <x:v>mathematics_mixed</x:v>
      </x:c>
      <x:c r="M20" s="4" t="str">
        <x:v>mathematics_mixed</x:v>
      </x:c>
      <x:c r="N20" s="14" t="str">
        <x:v>transfer_manifest_subject_label_not_page_topic_review</x:v>
      </x:c>
      <x:c r="O20" s="4" t="str">
        <x:v>unresolved_register</x:v>
      </x:c>
      <x:c r="P20" s="14" t="str">
        <x:v>1712.04728v2</x:v>
      </x:c>
      <x:c r="Q20" s="4" t="str">
        <x:v>tex</x:v>
      </x:c>
      <x:c r="R20" s="25" t="str">
        <x:v>1163</x:v>
      </x:c>
      <x:c r="S20" s="4" t="str">
        <x:v>F0B60299A60251645D654D8FA6411EF1E0E817217FBCFDDF9C8BC385FFA235D0</x:v>
      </x:c>
      <x:c r="T20" s="4" t="str">
        <x:v>F0B60299A60251645D654D8FA6411EF1E0E817217FBCFDDF9C8BC385FFA235D0</x:v>
      </x:c>
      <x:c r="U20" s="4" t="str">
        <x:v>source_file_is_canonical_search_text</x:v>
      </x:c>
      <x:c r="V20" s="14" t="str"/>
      <x:c r="W20" s="14" t="str">
        <x:v>local_or_non_http_locator_omitted</x:v>
      </x:c>
      <x:c r="X20" s="4" t="str">
        <x:v>recovered_transfer_20260706</x:v>
      </x:c>
      <x:c r="Y20" s="14" t="str">
        <x:v>native-source-body</x:v>
      </x:c>
      <x:c r="Z20" s="14" t="str">
        <x:v>arXiv HTML license href http://arxiv.org/licenses/nonexclusive-distrib/1.0/; TeX href /src/1712.04728; arXiv API license field blank; no license-clearance claim</x:v>
      </x:c>
      <x:c r="AA20" s="14" t="str">
        <x:v>arxiv_distribution_license_not_reuse_clear</x:v>
      </x:c>
      <x:c r="AB20" s="4" t="str">
        <x:v>match</x:v>
      </x:c>
      <x:c r="AC20" s="14" t="str">
        <x:v>not_term_sense_reviewed</x:v>
      </x:c>
      <x:c r="AD20" s="4" t="str">
        <x:v>true</x:v>
      </x:c>
      <x:c r="AE20" s="4" t="str">
        <x:v>true</x:v>
      </x:c>
      <x:c r="AF20" s="4" t="str">
        <x:v>false</x:v>
      </x:c>
      <x:c r="AG20" s="14" t="str">
        <x:v>primary_unique</x:v>
      </x:c>
      <x:c r="AH20" s="25" t="str">
        <x:v>true</x:v>
      </x:c>
      <x:c r="AI20" s="4" t="str">
        <x:v>false</x:v>
      </x:c>
      <x:c r="AJ20" s="4" t="str">
        <x:v>active_source_body</x:v>
      </x:c>
      <x:c r="AK20" s="4" t="str">
        <x:v>true</x:v>
      </x:c>
      <x:c r="AL20" s="4" t="str">
        <x:v>false</x:v>
      </x:c>
      <x:c r="AM20" s="14" t="str"/>
      <x:c r="AN20" s="14" t="str">
        <x:v>not_declared</x:v>
      </x:c>
      <x:c r="AO20" s="4" t="str">
        <x:v>false</x:v>
      </x:c>
      <x:c r="AP20" s="14" t="str"/>
      <x:c r="AQ20" s="4" t="str"/>
    </x:row>
    <x:row r="21" ht="44" customHeight="1">
      <x:c r="A21" s="14" t="str">
        <x:v>TRANSFER-0026</x:v>
      </x:c>
      <x:c r="B21" s="14" t="str">
        <x:v>TRANSFER-2209.02110v1-language-source-bodies/romance-germanic-baselines/bodies/spanish/arxiv_2209_02110v1/2209.02110v1_monoides.tex</x:v>
      </x:c>
      <x:c r="C21" s="4" t="str">
        <x:v>es</x:v>
      </x:c>
      <x:c r="D21" s="4" t="str">
        <x:v>es</x:v>
      </x:c>
      <x:c r="E21" s="14" t="str">
        <x:v>standard Spanish</x:v>
      </x:c>
      <x:c r="F21" s="4" t="str">
        <x:v>Spain and Americas</x:v>
      </x:c>
      <x:c r="G21" s="4" t="str">
        <x:v>Latn</x:v>
      </x:c>
      <x:c r="H21" s="4" t="str"/>
      <x:c r="I21" s="4" t="str"/>
      <x:c r="J21" s="4" t="str"/>
      <x:c r="K21" s="17" t="str"/>
      <x:c r="L21" s="4" t="str">
        <x:v>mathematics_mixed</x:v>
      </x:c>
      <x:c r="M21" s="4" t="str">
        <x:v>mathematics_mixed</x:v>
      </x:c>
      <x:c r="N21" s="14" t="str">
        <x:v>transfer_manifest_subject_label_not_page_topic_review</x:v>
      </x:c>
      <x:c r="O21" s="4" t="str">
        <x:v>unresolved_register</x:v>
      </x:c>
      <x:c r="P21" s="14" t="str">
        <x:v>2209.02110v1</x:v>
      </x:c>
      <x:c r="Q21" s="4" t="str">
        <x:v>tex</x:v>
      </x:c>
      <x:c r="R21" s="25" t="str">
        <x:v>179855</x:v>
      </x:c>
      <x:c r="S21" s="4" t="str">
        <x:v>DCDCE1163036490CC4228AFE92E66A58C143843B8525FC22B5E8E58B4242F73D</x:v>
      </x:c>
      <x:c r="T21" s="4" t="str">
        <x:v>DCDCE1163036490CC4228AFE92E66A58C143843B8525FC22B5E8E58B4242F73D</x:v>
      </x:c>
      <x:c r="U21" s="4" t="str">
        <x:v>source_file_is_canonical_search_text</x:v>
      </x:c>
      <x:c r="V21" s="14" t="str"/>
      <x:c r="W21" s="14" t="str">
        <x:v>local_or_non_http_locator_omitted</x:v>
      </x:c>
      <x:c r="X21" s="4" t="str">
        <x:v>recovered_transfer_20260706</x:v>
      </x:c>
      <x:c r="Y21" s="14" t="str">
        <x:v>native-source-body</x:v>
      </x:c>
      <x:c r="Z21" s="14" t="str">
        <x:v>Creative Commons license link present on arXiv page</x:v>
      </x:c>
      <x:c r="AA21" s="14" t="str">
        <x:v>unresolved</x:v>
      </x:c>
      <x:c r="AB21" s="4" t="str">
        <x:v>match</x:v>
      </x:c>
      <x:c r="AC21" s="14" t="str">
        <x:v>not_term_sense_reviewed</x:v>
      </x:c>
      <x:c r="AD21" s="4" t="str">
        <x:v>true</x:v>
      </x:c>
      <x:c r="AE21" s="4" t="str">
        <x:v>true</x:v>
      </x:c>
      <x:c r="AF21" s="4" t="str">
        <x:v>false</x:v>
      </x:c>
      <x:c r="AG21" s="14" t="str">
        <x:v>primary_unique</x:v>
      </x:c>
      <x:c r="AH21" s="25" t="str">
        <x:v>true</x:v>
      </x:c>
      <x:c r="AI21" s="4" t="str">
        <x:v>false</x:v>
      </x:c>
      <x:c r="AJ21" s="4" t="str">
        <x:v>active_source_body</x:v>
      </x:c>
      <x:c r="AK21" s="4" t="str">
        <x:v>true</x:v>
      </x:c>
      <x:c r="AL21" s="4" t="str">
        <x:v>false</x:v>
      </x:c>
      <x:c r="AM21" s="14" t="str"/>
      <x:c r="AN21" s="14" t="str">
        <x:v>not_declared</x:v>
      </x:c>
      <x:c r="AO21" s="4" t="str">
        <x:v>false</x:v>
      </x:c>
      <x:c r="AP21" s="14" t="str"/>
      <x:c r="AQ21" s="4" t="str"/>
    </x:row>
    <x:row r="22" ht="44" customHeight="1">
      <x:c r="A22" s="14" t="str">
        <x:v>TRANSFER-0027</x:v>
      </x:c>
      <x:c r="B22" s="14" t="str">
        <x:v>TRANSFER-2307.03598v1-language-source-bodies/romance-germanic-baselines/bodies/spanish/arxiv_2307_03598v1/2307.03598v1_Paper_D-modulos_CNMXXII.tex</x:v>
      </x:c>
      <x:c r="C22" s="4" t="str">
        <x:v>es</x:v>
      </x:c>
      <x:c r="D22" s="4" t="str">
        <x:v>es</x:v>
      </x:c>
      <x:c r="E22" s="14" t="str">
        <x:v>standard Spanish</x:v>
      </x:c>
      <x:c r="F22" s="4" t="str">
        <x:v>Spain and Americas</x:v>
      </x:c>
      <x:c r="G22" s="4" t="str">
        <x:v>Latn</x:v>
      </x:c>
      <x:c r="H22" s="4" t="str"/>
      <x:c r="I22" s="4" t="str"/>
      <x:c r="J22" s="4" t="str"/>
      <x:c r="K22" s="17" t="str"/>
      <x:c r="L22" s="4" t="str">
        <x:v>module_theory</x:v>
      </x:c>
      <x:c r="M22" s="4" t="str">
        <x:v>module_theory</x:v>
      </x:c>
      <x:c r="N22" s="14" t="str">
        <x:v>transfer_manifest_subject_label_not_page_topic_review</x:v>
      </x:c>
      <x:c r="O22" s="4" t="str">
        <x:v>unresolved_register</x:v>
      </x:c>
      <x:c r="P22" s="14" t="str">
        <x:v>2307.03598v1</x:v>
      </x:c>
      <x:c r="Q22" s="4" t="str">
        <x:v>tex</x:v>
      </x:c>
      <x:c r="R22" s="25" t="str">
        <x:v>87092</x:v>
      </x:c>
      <x:c r="S22" s="4" t="str">
        <x:v>7CB92E7F60B1657B88128CDAF1166DC71BC39C2919F392981DF454661E28FF20</x:v>
      </x:c>
      <x:c r="T22" s="4" t="str">
        <x:v>7CB92E7F60B1657B88128CDAF1166DC71BC39C2919F392981DF454661E28FF20</x:v>
      </x:c>
      <x:c r="U22" s="4" t="str">
        <x:v>source_file_is_canonical_search_text</x:v>
      </x:c>
      <x:c r="V22" s="14" t="str"/>
      <x:c r="W22" s="14" t="str">
        <x:v>local_or_non_http_locator_omitted</x:v>
      </x:c>
      <x:c r="X22" s="4" t="str">
        <x:v>recovered_transfer_20260706</x:v>
      </x:c>
      <x:c r="Y22" s="14" t="str">
        <x:v>native-source-body</x:v>
      </x:c>
      <x:c r="Z22" s="14" t="str">
        <x:v>Creative Commons license link present on arXiv page</x:v>
      </x:c>
      <x:c r="AA22" s="14" t="str">
        <x:v>unresolved</x:v>
      </x:c>
      <x:c r="AB22" s="4" t="str">
        <x:v>match</x:v>
      </x:c>
      <x:c r="AC22" s="14" t="str">
        <x:v>not_term_sense_reviewed</x:v>
      </x:c>
      <x:c r="AD22" s="4" t="str">
        <x:v>true</x:v>
      </x:c>
      <x:c r="AE22" s="4" t="str">
        <x:v>true</x:v>
      </x:c>
      <x:c r="AF22" s="4" t="str">
        <x:v>false</x:v>
      </x:c>
      <x:c r="AG22" s="14" t="str">
        <x:v>primary_unique</x:v>
      </x:c>
      <x:c r="AH22" s="25" t="str">
        <x:v>true</x:v>
      </x:c>
      <x:c r="AI22" s="4" t="str">
        <x:v>false</x:v>
      </x:c>
      <x:c r="AJ22" s="4" t="str">
        <x:v>active_source_body</x:v>
      </x:c>
      <x:c r="AK22" s="4" t="str">
        <x:v>true</x:v>
      </x:c>
      <x:c r="AL22" s="4" t="str">
        <x:v>false</x:v>
      </x:c>
      <x:c r="AM22" s="14" t="str"/>
      <x:c r="AN22" s="14" t="str">
        <x:v>not_declared</x:v>
      </x:c>
      <x:c r="AO22" s="4" t="str">
        <x:v>true</x:v>
      </x:c>
      <x:c r="AP22" s="14" t="str"/>
      <x:c r="AQ22" s="4" t="str"/>
    </x:row>
    <x:row r="23" ht="44" customHeight="1">
      <x:c r="A23" s="14" t="str">
        <x:v>TRANSFER-0029</x:v>
      </x:c>
      <x:c r="B23" s="14" t="str">
        <x:v>TRANSFER-ES-B-002_notas-san-salvador-outputs/source_canon_repo_text_probe/ES-B-002_notas-san-salvador/algebra-2018/11-anillos-ejercicios.tex</x:v>
      </x:c>
      <x:c r="C23" s="4" t="str">
        <x:v>es</x:v>
      </x:c>
      <x:c r="D23" s="4" t="str">
        <x:v>es</x:v>
      </x:c>
      <x:c r="E23" s="14" t="str">
        <x:v>standard Spanish</x:v>
      </x:c>
      <x:c r="F23" s="4" t="str">
        <x:v>Spain and Americas</x:v>
      </x:c>
      <x:c r="G23" s="4" t="str">
        <x:v>Latn</x:v>
      </x:c>
      <x:c r="H23" s="4" t="str"/>
      <x:c r="I23" s="4" t="str"/>
      <x:c r="J23" s="4" t="str"/>
      <x:c r="K23" s="17" t="str"/>
      <x:c r="L23" s="4" t="str">
        <x:v>ring_theory</x:v>
      </x:c>
      <x:c r="M23" s="4" t="str">
        <x:v>ring_theory</x:v>
      </x:c>
      <x:c r="N23" s="14" t="str">
        <x:v>transfer_manifest_subject_label_not_page_topic_review</x:v>
      </x:c>
      <x:c r="O23" s="4" t="str">
        <x:v>unresolved_register</x:v>
      </x:c>
      <x:c r="P23" s="14" t="str">
        <x:v>ES-B-002_notas-san-salvador</x:v>
      </x:c>
      <x:c r="Q23" s="4" t="str">
        <x:v>tex</x:v>
      </x:c>
      <x:c r="R23" s="25" t="str">
        <x:v>24998</x:v>
      </x:c>
      <x:c r="S23" s="4" t="str">
        <x:v>8A7E3E7564D19D1A08ADD4D99C545047600D129F05D2B4BB70C7BCD37D027650</x:v>
      </x:c>
      <x:c r="T23" s="4" t="str">
        <x:v>8A7E3E7564D19D1A08ADD4D99C545047600D129F05D2B4BB70C7BCD37D027650</x:v>
      </x:c>
      <x:c r="U23" s="4" t="str">
        <x:v>source_file_is_canonical_search_text</x:v>
      </x:c>
      <x:c r="V23" s="14" t="str"/>
      <x:c r="W23" s="14" t="str">
        <x:v>local_or_non_http_locator_omitted</x:v>
      </x:c>
      <x:c r="X23" s="4" t="str">
        <x:v>recovered_transfer_20260706</x:v>
      </x:c>
      <x:c r="Y23" s="14" t="str">
        <x:v>spanish-repo-tex-body-presence; source-witness-candidate; license-gap-no-clearance; not-promoted</x:v>
      </x:c>
      <x:c r="Z23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23" s="14" t="str">
        <x:v>unresolved_no_explicit_grant</x:v>
      </x:c>
      <x:c r="AB23" s="4" t="str">
        <x:v>match</x:v>
      </x:c>
      <x:c r="AC23" s="14" t="str">
        <x:v>not_term_sense_reviewed</x:v>
      </x:c>
      <x:c r="AD23" s="4" t="str">
        <x:v>true</x:v>
      </x:c>
      <x:c r="AE23" s="4" t="str">
        <x:v>false</x:v>
      </x:c>
      <x:c r="AF23" s="4" t="str">
        <x:v>false</x:v>
      </x:c>
      <x:c r="AG23" s="14" t="str">
        <x:v>primary_unique</x:v>
      </x:c>
      <x:c r="AH23" s="25" t="str">
        <x:v>false</x:v>
      </x:c>
      <x:c r="AI23" s="4" t="str">
        <x:v>false</x:v>
      </x:c>
      <x:c r="AJ23" s="4" t="str">
        <x:v>preserved_noncounting_source_or_alias</x:v>
      </x:c>
      <x:c r="AK23" s="4" t="str">
        <x:v>false</x:v>
      </x:c>
      <x:c r="AL23" s="4" t="str">
        <x:v>false</x:v>
      </x:c>
      <x:c r="AM23" s="14" t="str"/>
      <x:c r="AN23" s="14" t="str">
        <x:v>not_declared</x:v>
      </x:c>
      <x:c r="AO23" s="4" t="str">
        <x:v>false</x:v>
      </x:c>
      <x:c r="AP23" s="14" t="str"/>
      <x:c r="AQ23" s="4" t="str"/>
    </x:row>
    <x:row r="24" ht="44" customHeight="1">
      <x:c r="A24" s="14" t="str">
        <x:v>TRANSFER-0030</x:v>
      </x:c>
      <x:c r="B24" s="14" t="str">
        <x:v>TRANSFER-ES-B-002_notas-san-salvador-outputs/source_canon_repo_text_probe/ES-B-002_notas-san-salvador/algebra-2018/11-anillos.tex</x:v>
      </x:c>
      <x:c r="C24" s="4" t="str">
        <x:v>es</x:v>
      </x:c>
      <x:c r="D24" s="4" t="str">
        <x:v>es</x:v>
      </x:c>
      <x:c r="E24" s="14" t="str">
        <x:v>standard Spanish</x:v>
      </x:c>
      <x:c r="F24" s="4" t="str">
        <x:v>Spain and Americas</x:v>
      </x:c>
      <x:c r="G24" s="4" t="str">
        <x:v>Latn</x:v>
      </x:c>
      <x:c r="H24" s="4" t="str"/>
      <x:c r="I24" s="4" t="str"/>
      <x:c r="J24" s="4" t="str"/>
      <x:c r="K24" s="17" t="str"/>
      <x:c r="L24" s="4" t="str">
        <x:v>ring_theory</x:v>
      </x:c>
      <x:c r="M24" s="4" t="str">
        <x:v>ring_theory</x:v>
      </x:c>
      <x:c r="N24" s="14" t="str">
        <x:v>transfer_manifest_subject_label_not_page_topic_review</x:v>
      </x:c>
      <x:c r="O24" s="4" t="str">
        <x:v>unresolved_register</x:v>
      </x:c>
      <x:c r="P24" s="14" t="str">
        <x:v>ES-B-002_notas-san-salvador</x:v>
      </x:c>
      <x:c r="Q24" s="4" t="str">
        <x:v>tex</x:v>
      </x:c>
      <x:c r="R24" s="25" t="str">
        <x:v>80073</x:v>
      </x:c>
      <x:c r="S24" s="4" t="str">
        <x:v>0B78196FB162C9231C89BA34216CCB03E6F42AB09D977734B6612F7612F64737</x:v>
      </x:c>
      <x:c r="T24" s="4" t="str">
        <x:v>0B78196FB162C9231C89BA34216CCB03E6F42AB09D977734B6612F7612F64737</x:v>
      </x:c>
      <x:c r="U24" s="4" t="str">
        <x:v>source_file_is_canonical_search_text</x:v>
      </x:c>
      <x:c r="V24" s="14" t="str"/>
      <x:c r="W24" s="14" t="str">
        <x:v>local_or_non_http_locator_omitted</x:v>
      </x:c>
      <x:c r="X24" s="4" t="str">
        <x:v>recovered_transfer_20260706</x:v>
      </x:c>
      <x:c r="Y24" s="14" t="str">
        <x:v>spanish-repo-tex-body-presence; source-witness-candidate; license-gap-no-clearance; not-promoted</x:v>
      </x:c>
      <x:c r="Z24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24" s="14" t="str">
        <x:v>unresolved_no_explicit_grant</x:v>
      </x:c>
      <x:c r="AB24" s="4" t="str">
        <x:v>match</x:v>
      </x:c>
      <x:c r="AC24" s="14" t="str">
        <x:v>not_term_sense_reviewed</x:v>
      </x:c>
      <x:c r="AD24" s="4" t="str">
        <x:v>true</x:v>
      </x:c>
      <x:c r="AE24" s="4" t="str">
        <x:v>false</x:v>
      </x:c>
      <x:c r="AF24" s="4" t="str">
        <x:v>false</x:v>
      </x:c>
      <x:c r="AG24" s="14" t="str">
        <x:v>primary_unique</x:v>
      </x:c>
      <x:c r="AH24" s="25" t="str">
        <x:v>false</x:v>
      </x:c>
      <x:c r="AI24" s="4" t="str">
        <x:v>false</x:v>
      </x:c>
      <x:c r="AJ24" s="4" t="str">
        <x:v>preserved_noncounting_source_or_alias</x:v>
      </x:c>
      <x:c r="AK24" s="4" t="str">
        <x:v>false</x:v>
      </x:c>
      <x:c r="AL24" s="4" t="str">
        <x:v>false</x:v>
      </x:c>
      <x:c r="AM24" s="14" t="str"/>
      <x:c r="AN24" s="14" t="str">
        <x:v>not_declared</x:v>
      </x:c>
      <x:c r="AO24" s="4" t="str">
        <x:v>false</x:v>
      </x:c>
      <x:c r="AP24" s="14" t="str"/>
      <x:c r="AQ24" s="4" t="str"/>
    </x:row>
    <x:row r="25" ht="44" customHeight="1">
      <x:c r="A25" s="14" t="str">
        <x:v>TRANSFER-0031</x:v>
      </x:c>
      <x:c r="B25" s="14" t="str">
        <x:v>TRANSFER-ES-B-002_notas-san-salvador-outputs/source_canon_repo_text_probe/ES-B-002_notas-san-salvador/algebra-2018/12-anillos-conmutativos-ejercicios.tex</x:v>
      </x:c>
      <x:c r="C25" s="4" t="str">
        <x:v>es</x:v>
      </x:c>
      <x:c r="D25" s="4" t="str">
        <x:v>es</x:v>
      </x:c>
      <x:c r="E25" s="14" t="str">
        <x:v>standard Spanish</x:v>
      </x:c>
      <x:c r="F25" s="4" t="str">
        <x:v>Spain and Americas</x:v>
      </x:c>
      <x:c r="G25" s="4" t="str">
        <x:v>Latn</x:v>
      </x:c>
      <x:c r="H25" s="4" t="str"/>
      <x:c r="I25" s="4" t="str"/>
      <x:c r="J25" s="4" t="str"/>
      <x:c r="K25" s="17" t="str"/>
      <x:c r="L25" s="4" t="str">
        <x:v>ring_theory</x:v>
      </x:c>
      <x:c r="M25" s="4" t="str">
        <x:v>ring_theory</x:v>
      </x:c>
      <x:c r="N25" s="14" t="str">
        <x:v>transfer_manifest_subject_label_not_page_topic_review</x:v>
      </x:c>
      <x:c r="O25" s="4" t="str">
        <x:v>unresolved_register</x:v>
      </x:c>
      <x:c r="P25" s="14" t="str">
        <x:v>ES-B-002_notas-san-salvador</x:v>
      </x:c>
      <x:c r="Q25" s="4" t="str">
        <x:v>tex</x:v>
      </x:c>
      <x:c r="R25" s="25" t="str">
        <x:v>18008</x:v>
      </x:c>
      <x:c r="S25" s="4" t="str">
        <x:v>F5798483A12806935FF3058EF4C54597FE46F6DE0E937D647649CE355FE33D5F</x:v>
      </x:c>
      <x:c r="T25" s="4" t="str">
        <x:v>F5798483A12806935FF3058EF4C54597FE46F6DE0E937D647649CE355FE33D5F</x:v>
      </x:c>
      <x:c r="U25" s="4" t="str">
        <x:v>source_file_is_canonical_search_text</x:v>
      </x:c>
      <x:c r="V25" s="14" t="str"/>
      <x:c r="W25" s="14" t="str">
        <x:v>local_or_non_http_locator_omitted</x:v>
      </x:c>
      <x:c r="X25" s="4" t="str">
        <x:v>recovered_transfer_20260706</x:v>
      </x:c>
      <x:c r="Y25" s="14" t="str">
        <x:v>spanish-repo-tex-body-presence; source-witness-candidate; license-gap-no-clearance; not-promoted</x:v>
      </x:c>
      <x:c r="Z25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25" s="14" t="str">
        <x:v>unresolved_no_explicit_grant</x:v>
      </x:c>
      <x:c r="AB25" s="4" t="str">
        <x:v>match</x:v>
      </x:c>
      <x:c r="AC25" s="14" t="str">
        <x:v>not_term_sense_reviewed</x:v>
      </x:c>
      <x:c r="AD25" s="4" t="str">
        <x:v>true</x:v>
      </x:c>
      <x:c r="AE25" s="4" t="str">
        <x:v>false</x:v>
      </x:c>
      <x:c r="AF25" s="4" t="str">
        <x:v>false</x:v>
      </x:c>
      <x:c r="AG25" s="14" t="str">
        <x:v>primary_unique</x:v>
      </x:c>
      <x:c r="AH25" s="25" t="str">
        <x:v>false</x:v>
      </x:c>
      <x:c r="AI25" s="4" t="str">
        <x:v>false</x:v>
      </x:c>
      <x:c r="AJ25" s="4" t="str">
        <x:v>preserved_noncounting_source_or_alias</x:v>
      </x:c>
      <x:c r="AK25" s="4" t="str">
        <x:v>false</x:v>
      </x:c>
      <x:c r="AL25" s="4" t="str">
        <x:v>false</x:v>
      </x:c>
      <x:c r="AM25" s="14" t="str"/>
      <x:c r="AN25" s="14" t="str">
        <x:v>not_declared</x:v>
      </x:c>
      <x:c r="AO25" s="4" t="str">
        <x:v>false</x:v>
      </x:c>
      <x:c r="AP25" s="14" t="str"/>
      <x:c r="AQ25" s="4" t="str"/>
    </x:row>
    <x:row r="26" ht="44" customHeight="1">
      <x:c r="A26" s="14" t="str">
        <x:v>TRANSFER-0032</x:v>
      </x:c>
      <x:c r="B26" s="14" t="str">
        <x:v>TRANSFER-ES-B-002_notas-san-salvador-outputs/source_canon_repo_text_probe/ES-B-002_notas-san-salvador/algebra-2018/12-anillos-conmutativos.tex</x:v>
      </x:c>
      <x:c r="C26" s="4" t="str">
        <x:v>es</x:v>
      </x:c>
      <x:c r="D26" s="4" t="str">
        <x:v>es</x:v>
      </x:c>
      <x:c r="E26" s="14" t="str">
        <x:v>standard Spanish</x:v>
      </x:c>
      <x:c r="F26" s="4" t="str">
        <x:v>Spain and Americas</x:v>
      </x:c>
      <x:c r="G26" s="4" t="str">
        <x:v>Latn</x:v>
      </x:c>
      <x:c r="H26" s="4" t="str"/>
      <x:c r="I26" s="4" t="str"/>
      <x:c r="J26" s="4" t="str"/>
      <x:c r="K26" s="17" t="str"/>
      <x:c r="L26" s="4" t="str">
        <x:v>ring_theory</x:v>
      </x:c>
      <x:c r="M26" s="4" t="str">
        <x:v>ring_theory</x:v>
      </x:c>
      <x:c r="N26" s="14" t="str">
        <x:v>transfer_manifest_subject_label_not_page_topic_review</x:v>
      </x:c>
      <x:c r="O26" s="4" t="str">
        <x:v>unresolved_register</x:v>
      </x:c>
      <x:c r="P26" s="14" t="str">
        <x:v>ES-B-002_notas-san-salvador</x:v>
      </x:c>
      <x:c r="Q26" s="4" t="str">
        <x:v>tex</x:v>
      </x:c>
      <x:c r="R26" s="25" t="str">
        <x:v>96221</x:v>
      </x:c>
      <x:c r="S26" s="4" t="str">
        <x:v>3E5DAF488A87DC74314124897432ADFE117EA8E0533B8EB8F81E44C255A2825A</x:v>
      </x:c>
      <x:c r="T26" s="4" t="str">
        <x:v>3E5DAF488A87DC74314124897432ADFE117EA8E0533B8EB8F81E44C255A2825A</x:v>
      </x:c>
      <x:c r="U26" s="4" t="str">
        <x:v>source_file_is_canonical_search_text</x:v>
      </x:c>
      <x:c r="V26" s="14" t="str"/>
      <x:c r="W26" s="14" t="str">
        <x:v>local_or_non_http_locator_omitted</x:v>
      </x:c>
      <x:c r="X26" s="4" t="str">
        <x:v>recovered_transfer_20260706</x:v>
      </x:c>
      <x:c r="Y26" s="14" t="str">
        <x:v>spanish-repo-tex-body-presence; source-witness-candidate; license-gap-no-clearance; not-promoted</x:v>
      </x:c>
      <x:c r="Z26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26" s="14" t="str">
        <x:v>unresolved_no_explicit_grant</x:v>
      </x:c>
      <x:c r="AB26" s="4" t="str">
        <x:v>match</x:v>
      </x:c>
      <x:c r="AC26" s="14" t="str">
        <x:v>not_term_sense_reviewed</x:v>
      </x:c>
      <x:c r="AD26" s="4" t="str">
        <x:v>true</x:v>
      </x:c>
      <x:c r="AE26" s="4" t="str">
        <x:v>false</x:v>
      </x:c>
      <x:c r="AF26" s="4" t="str">
        <x:v>false</x:v>
      </x:c>
      <x:c r="AG26" s="14" t="str">
        <x:v>primary_unique</x:v>
      </x:c>
      <x:c r="AH26" s="25" t="str">
        <x:v>false</x:v>
      </x:c>
      <x:c r="AI26" s="4" t="str">
        <x:v>false</x:v>
      </x:c>
      <x:c r="AJ26" s="4" t="str">
        <x:v>preserved_noncounting_source_or_alias</x:v>
      </x:c>
      <x:c r="AK26" s="4" t="str">
        <x:v>false</x:v>
      </x:c>
      <x:c r="AL26" s="4" t="str">
        <x:v>false</x:v>
      </x:c>
      <x:c r="AM26" s="14" t="str"/>
      <x:c r="AN26" s="14" t="str">
        <x:v>not_declared</x:v>
      </x:c>
      <x:c r="AO26" s="4" t="str">
        <x:v>false</x:v>
      </x:c>
      <x:c r="AP26" s="14" t="str"/>
      <x:c r="AQ26" s="4" t="str"/>
    </x:row>
    <x:row r="27" ht="44" customHeight="1">
      <x:c r="A27" s="14" t="str">
        <x:v>TRANSFER-0033</x:v>
      </x:c>
      <x:c r="B27" s="14" t="str">
        <x:v>TRANSFER-ES-B-002_notas-san-salvador-outputs/source_canon_repo_text_probe/ES-B-002_notas-san-salvador/algebra-2018/capitulos/11-anillos.tex</x:v>
      </x:c>
      <x:c r="C27" s="4" t="str">
        <x:v>es</x:v>
      </x:c>
      <x:c r="D27" s="4" t="str">
        <x:v>es</x:v>
      </x:c>
      <x:c r="E27" s="14" t="str">
        <x:v>standard Spanish</x:v>
      </x:c>
      <x:c r="F27" s="4" t="str">
        <x:v>Spain and Americas</x:v>
      </x:c>
      <x:c r="G27" s="4" t="str">
        <x:v>Latn</x:v>
      </x:c>
      <x:c r="H27" s="4" t="str"/>
      <x:c r="I27" s="4" t="str"/>
      <x:c r="J27" s="4" t="str"/>
      <x:c r="K27" s="17" t="str"/>
      <x:c r="L27" s="4" t="str">
        <x:v>ring_theory</x:v>
      </x:c>
      <x:c r="M27" s="4" t="str">
        <x:v>ring_theory</x:v>
      </x:c>
      <x:c r="N27" s="14" t="str">
        <x:v>transfer_manifest_subject_label_not_page_topic_review</x:v>
      </x:c>
      <x:c r="O27" s="4" t="str">
        <x:v>unresolved_register</x:v>
      </x:c>
      <x:c r="P27" s="14" t="str">
        <x:v>ES-B-002_notas-san-salvador</x:v>
      </x:c>
      <x:c r="Q27" s="4" t="str">
        <x:v>tex</x:v>
      </x:c>
      <x:c r="R27" s="25" t="str">
        <x:v>824</x:v>
      </x:c>
      <x:c r="S27" s="4" t="str">
        <x:v>C76295A6AE9702BF249473363EB2942B8A646ED905E89507DD3EBE0BFC6AB25F</x:v>
      </x:c>
      <x:c r="T27" s="4" t="str">
        <x:v>C76295A6AE9702BF249473363EB2942B8A646ED905E89507DD3EBE0BFC6AB25F</x:v>
      </x:c>
      <x:c r="U27" s="4" t="str">
        <x:v>source_file_is_canonical_search_text</x:v>
      </x:c>
      <x:c r="V27" s="14" t="str"/>
      <x:c r="W27" s="14" t="str">
        <x:v>local_or_non_http_locator_omitted</x:v>
      </x:c>
      <x:c r="X27" s="4" t="str">
        <x:v>recovered_transfer_20260706</x:v>
      </x:c>
      <x:c r="Y27" s="14" t="str">
        <x:v>spanish-repo-tex-body-presence; source-witness-candidate; license-gap-no-clearance; not-promoted</x:v>
      </x:c>
      <x:c r="Z27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27" s="14" t="str">
        <x:v>unresolved_no_explicit_grant</x:v>
      </x:c>
      <x:c r="AB27" s="4" t="str">
        <x:v>match</x:v>
      </x:c>
      <x:c r="AC27" s="14" t="str">
        <x:v>not_term_sense_reviewed</x:v>
      </x:c>
      <x:c r="AD27" s="4" t="str">
        <x:v>true</x:v>
      </x:c>
      <x:c r="AE27" s="4" t="str">
        <x:v>false</x:v>
      </x:c>
      <x:c r="AF27" s="4" t="str">
        <x:v>false</x:v>
      </x:c>
      <x:c r="AG27" s="14" t="str">
        <x:v>primary_unique</x:v>
      </x:c>
      <x:c r="AH27" s="25" t="str">
        <x:v>false</x:v>
      </x:c>
      <x:c r="AI27" s="4" t="str">
        <x:v>false</x:v>
      </x:c>
      <x:c r="AJ27" s="4" t="str">
        <x:v>preserved_noncounting_source_or_alias</x:v>
      </x:c>
      <x:c r="AK27" s="4" t="str">
        <x:v>false</x:v>
      </x:c>
      <x:c r="AL27" s="4" t="str">
        <x:v>false</x:v>
      </x:c>
      <x:c r="AM27" s="14" t="str"/>
      <x:c r="AN27" s="14" t="str">
        <x:v>not_declared</x:v>
      </x:c>
      <x:c r="AO27" s="4" t="str">
        <x:v>false</x:v>
      </x:c>
      <x:c r="AP27" s="14" t="str"/>
      <x:c r="AQ27" s="4" t="str"/>
    </x:row>
    <x:row r="28" ht="44" customHeight="1">
      <x:c r="A28" s="14" t="str">
        <x:v>TRANSFER-0034</x:v>
      </x:c>
      <x:c r="B28" s="14" t="str">
        <x:v>TRANSFER-ES-B-002_notas-san-salvador-outputs/source_canon_repo_text_probe/ES-B-002_notas-san-salvador/algebra-2018/capitulos/12-anillos-conmutativos.tex</x:v>
      </x:c>
      <x:c r="C28" s="4" t="str">
        <x:v>es</x:v>
      </x:c>
      <x:c r="D28" s="4" t="str">
        <x:v>es</x:v>
      </x:c>
      <x:c r="E28" s="14" t="str">
        <x:v>standard Spanish</x:v>
      </x:c>
      <x:c r="F28" s="4" t="str">
        <x:v>Spain and Americas</x:v>
      </x:c>
      <x:c r="G28" s="4" t="str">
        <x:v>Latn</x:v>
      </x:c>
      <x:c r="H28" s="4" t="str"/>
      <x:c r="I28" s="4" t="str"/>
      <x:c r="J28" s="4" t="str"/>
      <x:c r="K28" s="17" t="str"/>
      <x:c r="L28" s="4" t="str">
        <x:v>ring_theory</x:v>
      </x:c>
      <x:c r="M28" s="4" t="str">
        <x:v>ring_theory</x:v>
      </x:c>
      <x:c r="N28" s="14" t="str">
        <x:v>transfer_manifest_subject_label_not_page_topic_review</x:v>
      </x:c>
      <x:c r="O28" s="4" t="str">
        <x:v>unresolved_register</x:v>
      </x:c>
      <x:c r="P28" s="14" t="str">
        <x:v>ES-B-002_notas-san-salvador</x:v>
      </x:c>
      <x:c r="Q28" s="4" t="str">
        <x:v>tex</x:v>
      </x:c>
      <x:c r="R28" s="25" t="str">
        <x:v>902</x:v>
      </x:c>
      <x:c r="S28" s="4" t="str">
        <x:v>0BAF39CD70EFEF4B9DBC07EF1192607C78190ACA2370C7AAFBAB884824C1CFFB</x:v>
      </x:c>
      <x:c r="T28" s="4" t="str">
        <x:v>0BAF39CD70EFEF4B9DBC07EF1192607C78190ACA2370C7AAFBAB884824C1CFFB</x:v>
      </x:c>
      <x:c r="U28" s="4" t="str">
        <x:v>source_file_is_canonical_search_text</x:v>
      </x:c>
      <x:c r="V28" s="14" t="str"/>
      <x:c r="W28" s="14" t="str">
        <x:v>local_or_non_http_locator_omitted</x:v>
      </x:c>
      <x:c r="X28" s="4" t="str">
        <x:v>recovered_transfer_20260706</x:v>
      </x:c>
      <x:c r="Y28" s="14" t="str">
        <x:v>spanish-repo-tex-body-presence; source-witness-candidate; license-gap-no-clearance; not-promoted</x:v>
      </x:c>
      <x:c r="Z28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28" s="14" t="str">
        <x:v>unresolved_no_explicit_grant</x:v>
      </x:c>
      <x:c r="AB28" s="4" t="str">
        <x:v>match</x:v>
      </x:c>
      <x:c r="AC28" s="14" t="str">
        <x:v>not_term_sense_reviewed</x:v>
      </x:c>
      <x:c r="AD28" s="4" t="str">
        <x:v>true</x:v>
      </x:c>
      <x:c r="AE28" s="4" t="str">
        <x:v>false</x:v>
      </x:c>
      <x:c r="AF28" s="4" t="str">
        <x:v>false</x:v>
      </x:c>
      <x:c r="AG28" s="14" t="str">
        <x:v>primary_unique</x:v>
      </x:c>
      <x:c r="AH28" s="25" t="str">
        <x:v>false</x:v>
      </x:c>
      <x:c r="AI28" s="4" t="str">
        <x:v>false</x:v>
      </x:c>
      <x:c r="AJ28" s="4" t="str">
        <x:v>preserved_noncounting_source_or_alias</x:v>
      </x:c>
      <x:c r="AK28" s="4" t="str">
        <x:v>false</x:v>
      </x:c>
      <x:c r="AL28" s="4" t="str">
        <x:v>false</x:v>
      </x:c>
      <x:c r="AM28" s="14" t="str"/>
      <x:c r="AN28" s="14" t="str">
        <x:v>not_declared</x:v>
      </x:c>
      <x:c r="AO28" s="4" t="str">
        <x:v>false</x:v>
      </x:c>
      <x:c r="AP28" s="14" t="str"/>
      <x:c r="AQ28" s="4" t="str"/>
    </x:row>
    <x:row r="29" ht="44" customHeight="1">
      <x:c r="A29" s="14" t="str">
        <x:v>TRANSFER-0035</x:v>
      </x:c>
      <x:c r="B29" s="14" t="str">
        <x:v>TRANSFER-ES-B-002_notas-san-salvador-outputs/source_canon_repo_text_probe/ES-B-002_notas-san-salvador/algebra-2019/0-conjuntos-ejercicios.tex</x:v>
      </x:c>
      <x:c r="C29" s="4" t="str">
        <x:v>es</x:v>
      </x:c>
      <x:c r="D29" s="4" t="str">
        <x:v>es</x:v>
      </x:c>
      <x:c r="E29" s="14" t="str">
        <x:v>standard Spanish</x:v>
      </x:c>
      <x:c r="F29" s="4" t="str">
        <x:v>Spain and Americas</x:v>
      </x:c>
      <x:c r="G29" s="4" t="str">
        <x:v>Latn</x:v>
      </x:c>
      <x:c r="H29" s="4" t="str"/>
      <x:c r="I29" s="4" t="str"/>
      <x:c r="J29" s="4" t="str"/>
      <x:c r="K29" s="17" t="str"/>
      <x:c r="L29" s="4" t="str">
        <x:v>abstract_algebra</x:v>
      </x:c>
      <x:c r="M29" s="4" t="str">
        <x:v>abstract_algebra</x:v>
      </x:c>
      <x:c r="N29" s="14" t="str">
        <x:v>transfer_manifest_subject_label_not_page_topic_review</x:v>
      </x:c>
      <x:c r="O29" s="4" t="str">
        <x:v>unresolved_register</x:v>
      </x:c>
      <x:c r="P29" s="14" t="str">
        <x:v>ES-B-002_notas-san-salvador</x:v>
      </x:c>
      <x:c r="Q29" s="4" t="str">
        <x:v>tex</x:v>
      </x:c>
      <x:c r="R29" s="25" t="str">
        <x:v>5058</x:v>
      </x:c>
      <x:c r="S29" s="4" t="str">
        <x:v>0F9E6610F105EE7DB26D0692D0DA02702165D6A47ECD389099993D11E1721B30</x:v>
      </x:c>
      <x:c r="T29" s="4" t="str">
        <x:v>0F9E6610F105EE7DB26D0692D0DA02702165D6A47ECD389099993D11E1721B30</x:v>
      </x:c>
      <x:c r="U29" s="4" t="str">
        <x:v>source_file_is_canonical_search_text</x:v>
      </x:c>
      <x:c r="V29" s="14" t="str"/>
      <x:c r="W29" s="14" t="str">
        <x:v>local_or_non_http_locator_omitted</x:v>
      </x:c>
      <x:c r="X29" s="4" t="str">
        <x:v>recovered_transfer_20260706</x:v>
      </x:c>
      <x:c r="Y29" s="14" t="str">
        <x:v>spanish-repo-tex-body-presence; source-witness-candidate; license-gap-no-clearance; not-promoted</x:v>
      </x:c>
      <x:c r="Z29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29" s="14" t="str">
        <x:v>unresolved_no_explicit_grant</x:v>
      </x:c>
      <x:c r="AB29" s="4" t="str">
        <x:v>match</x:v>
      </x:c>
      <x:c r="AC29" s="14" t="str">
        <x:v>not_term_sense_reviewed</x:v>
      </x:c>
      <x:c r="AD29" s="4" t="str">
        <x:v>true</x:v>
      </x:c>
      <x:c r="AE29" s="4" t="str">
        <x:v>false</x:v>
      </x:c>
      <x:c r="AF29" s="4" t="str">
        <x:v>false</x:v>
      </x:c>
      <x:c r="AG29" s="14" t="str">
        <x:v>primary_unique</x:v>
      </x:c>
      <x:c r="AH29" s="25" t="str">
        <x:v>false</x:v>
      </x:c>
      <x:c r="AI29" s="4" t="str">
        <x:v>false</x:v>
      </x:c>
      <x:c r="AJ29" s="4" t="str">
        <x:v>preserved_noncounting_source_or_alias</x:v>
      </x:c>
      <x:c r="AK29" s="4" t="str">
        <x:v>false</x:v>
      </x:c>
      <x:c r="AL29" s="4" t="str">
        <x:v>false</x:v>
      </x:c>
      <x:c r="AM29" s="14" t="str"/>
      <x:c r="AN29" s="14" t="str">
        <x:v>not_declared</x:v>
      </x:c>
      <x:c r="AO29" s="4" t="str">
        <x:v>false</x:v>
      </x:c>
      <x:c r="AP29" s="14" t="str"/>
      <x:c r="AQ29" s="4" t="str"/>
    </x:row>
    <x:row r="30" ht="44" customHeight="1">
      <x:c r="A30" s="14" t="str">
        <x:v>TRANSFER-0036</x:v>
      </x:c>
      <x:c r="B30" s="14" t="str">
        <x:v>TRANSFER-ES-B-002_notas-san-salvador-outputs/source_canon_repo_text_probe/ES-B-002_notas-san-salvador/algebra-2019/0-conjuntos.tex</x:v>
      </x:c>
      <x:c r="C30" s="4" t="str">
        <x:v>es</x:v>
      </x:c>
      <x:c r="D30" s="4" t="str">
        <x:v>es</x:v>
      </x:c>
      <x:c r="E30" s="14" t="str">
        <x:v>standard Spanish</x:v>
      </x:c>
      <x:c r="F30" s="4" t="str">
        <x:v>Spain and Americas</x:v>
      </x:c>
      <x:c r="G30" s="4" t="str">
        <x:v>Latn</x:v>
      </x:c>
      <x:c r="H30" s="4" t="str"/>
      <x:c r="I30" s="4" t="str"/>
      <x:c r="J30" s="4" t="str"/>
      <x:c r="K30" s="17" t="str"/>
      <x:c r="L30" s="4" t="str">
        <x:v>abstract_algebra</x:v>
      </x:c>
      <x:c r="M30" s="4" t="str">
        <x:v>abstract_algebra</x:v>
      </x:c>
      <x:c r="N30" s="14" t="str">
        <x:v>transfer_manifest_subject_label_not_page_topic_review</x:v>
      </x:c>
      <x:c r="O30" s="4" t="str">
        <x:v>unresolved_register</x:v>
      </x:c>
      <x:c r="P30" s="14" t="str">
        <x:v>ES-B-002_notas-san-salvador</x:v>
      </x:c>
      <x:c r="Q30" s="4" t="str">
        <x:v>tex</x:v>
      </x:c>
      <x:c r="R30" s="25" t="str">
        <x:v>56663</x:v>
      </x:c>
      <x:c r="S30" s="4" t="str">
        <x:v>7394173F73B67D902B7B92F4FD1937B79205C291D608535831435F626EE39637</x:v>
      </x:c>
      <x:c r="T30" s="4" t="str">
        <x:v>7394173F73B67D902B7B92F4FD1937B79205C291D608535831435F626EE39637</x:v>
      </x:c>
      <x:c r="U30" s="4" t="str">
        <x:v>source_file_is_canonical_search_text</x:v>
      </x:c>
      <x:c r="V30" s="14" t="str"/>
      <x:c r="W30" s="14" t="str">
        <x:v>local_or_non_http_locator_omitted</x:v>
      </x:c>
      <x:c r="X30" s="4" t="str">
        <x:v>recovered_transfer_20260706</x:v>
      </x:c>
      <x:c r="Y30" s="14" t="str">
        <x:v>spanish-repo-tex-body-presence; source-witness-candidate; license-gap-no-clearance; not-promoted</x:v>
      </x:c>
      <x:c r="Z30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30" s="14" t="str">
        <x:v>unresolved_no_explicit_grant</x:v>
      </x:c>
      <x:c r="AB30" s="4" t="str">
        <x:v>match</x:v>
      </x:c>
      <x:c r="AC30" s="14" t="str">
        <x:v>not_term_sense_reviewed</x:v>
      </x:c>
      <x:c r="AD30" s="4" t="str">
        <x:v>true</x:v>
      </x:c>
      <x:c r="AE30" s="4" t="str">
        <x:v>false</x:v>
      </x:c>
      <x:c r="AF30" s="4" t="str">
        <x:v>false</x:v>
      </x:c>
      <x:c r="AG30" s="14" t="str">
        <x:v>primary_unique</x:v>
      </x:c>
      <x:c r="AH30" s="25" t="str">
        <x:v>false</x:v>
      </x:c>
      <x:c r="AI30" s="4" t="str">
        <x:v>false</x:v>
      </x:c>
      <x:c r="AJ30" s="4" t="str">
        <x:v>preserved_noncounting_source_or_alias</x:v>
      </x:c>
      <x:c r="AK30" s="4" t="str">
        <x:v>false</x:v>
      </x:c>
      <x:c r="AL30" s="4" t="str">
        <x:v>false</x:v>
      </x:c>
      <x:c r="AM30" s="14" t="str"/>
      <x:c r="AN30" s="14" t="str">
        <x:v>not_declared</x:v>
      </x:c>
      <x:c r="AO30" s="4" t="str">
        <x:v>false</x:v>
      </x:c>
      <x:c r="AP30" s="14" t="str"/>
      <x:c r="AQ30" s="4" t="str"/>
    </x:row>
    <x:row r="31" ht="44" customHeight="1">
      <x:c r="A31" s="14" t="str">
        <x:v>TRANSFER-0037</x:v>
      </x:c>
      <x:c r="B31" s="14" t="str">
        <x:v>TRANSFER-ES-B-002_notas-san-salvador-outputs/source_canon_repo_text_probe/ES-B-002_notas-san-salvador/algebra-2019/1-anillos-ejercicios.tex</x:v>
      </x:c>
      <x:c r="C31" s="4" t="str">
        <x:v>es</x:v>
      </x:c>
      <x:c r="D31" s="4" t="str">
        <x:v>es</x:v>
      </x:c>
      <x:c r="E31" s="14" t="str">
        <x:v>standard Spanish</x:v>
      </x:c>
      <x:c r="F31" s="4" t="str">
        <x:v>Spain and Americas</x:v>
      </x:c>
      <x:c r="G31" s="4" t="str">
        <x:v>Latn</x:v>
      </x:c>
      <x:c r="H31" s="4" t="str"/>
      <x:c r="I31" s="4" t="str"/>
      <x:c r="J31" s="4" t="str"/>
      <x:c r="K31" s="17" t="str"/>
      <x:c r="L31" s="4" t="str">
        <x:v>ring_theory</x:v>
      </x:c>
      <x:c r="M31" s="4" t="str">
        <x:v>ring_theory</x:v>
      </x:c>
      <x:c r="N31" s="14" t="str">
        <x:v>transfer_manifest_subject_label_not_page_topic_review</x:v>
      </x:c>
      <x:c r="O31" s="4" t="str">
        <x:v>unresolved_register</x:v>
      </x:c>
      <x:c r="P31" s="14" t="str">
        <x:v>ES-B-002_notas-san-salvador</x:v>
      </x:c>
      <x:c r="Q31" s="4" t="str">
        <x:v>tex</x:v>
      </x:c>
      <x:c r="R31" s="25" t="str">
        <x:v>10025</x:v>
      </x:c>
      <x:c r="S31" s="4" t="str">
        <x:v>24427EE32449EB1E16769D0CE199D1BADB1F2EF3CB3FEDEF065E087D0176AF17</x:v>
      </x:c>
      <x:c r="T31" s="4" t="str">
        <x:v>24427EE32449EB1E16769D0CE199D1BADB1F2EF3CB3FEDEF065E087D0176AF17</x:v>
      </x:c>
      <x:c r="U31" s="4" t="str">
        <x:v>source_file_is_canonical_search_text</x:v>
      </x:c>
      <x:c r="V31" s="14" t="str"/>
      <x:c r="W31" s="14" t="str">
        <x:v>local_or_non_http_locator_omitted</x:v>
      </x:c>
      <x:c r="X31" s="4" t="str">
        <x:v>recovered_transfer_20260706</x:v>
      </x:c>
      <x:c r="Y31" s="14" t="str">
        <x:v>spanish-repo-tex-body-presence; source-witness-candidate; license-gap-no-clearance; not-promoted</x:v>
      </x:c>
      <x:c r="Z31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31" s="14" t="str">
        <x:v>unresolved_no_explicit_grant</x:v>
      </x:c>
      <x:c r="AB31" s="4" t="str">
        <x:v>match</x:v>
      </x:c>
      <x:c r="AC31" s="14" t="str">
        <x:v>not_term_sense_reviewed</x:v>
      </x:c>
      <x:c r="AD31" s="4" t="str">
        <x:v>true</x:v>
      </x:c>
      <x:c r="AE31" s="4" t="str">
        <x:v>false</x:v>
      </x:c>
      <x:c r="AF31" s="4" t="str">
        <x:v>false</x:v>
      </x:c>
      <x:c r="AG31" s="14" t="str">
        <x:v>primary_unique</x:v>
      </x:c>
      <x:c r="AH31" s="25" t="str">
        <x:v>false</x:v>
      </x:c>
      <x:c r="AI31" s="4" t="str">
        <x:v>false</x:v>
      </x:c>
      <x:c r="AJ31" s="4" t="str">
        <x:v>preserved_noncounting_source_or_alias</x:v>
      </x:c>
      <x:c r="AK31" s="4" t="str">
        <x:v>false</x:v>
      </x:c>
      <x:c r="AL31" s="4" t="str">
        <x:v>false</x:v>
      </x:c>
      <x:c r="AM31" s="14" t="str"/>
      <x:c r="AN31" s="14" t="str">
        <x:v>not_declared</x:v>
      </x:c>
      <x:c r="AO31" s="4" t="str">
        <x:v>false</x:v>
      </x:c>
      <x:c r="AP31" s="14" t="str"/>
      <x:c r="AQ31" s="4" t="str"/>
    </x:row>
    <x:row r="32" ht="44" customHeight="1">
      <x:c r="A32" s="14" t="str">
        <x:v>TRANSFER-0038</x:v>
      </x:c>
      <x:c r="B32" s="14" t="str">
        <x:v>TRANSFER-ES-B-002_notas-san-salvador-outputs/source_canon_repo_text_probe/ES-B-002_notas-san-salvador/algebra-2019/1-anillos.tex</x:v>
      </x:c>
      <x:c r="C32" s="4" t="str">
        <x:v>es</x:v>
      </x:c>
      <x:c r="D32" s="4" t="str">
        <x:v>es</x:v>
      </x:c>
      <x:c r="E32" s="14" t="str">
        <x:v>standard Spanish</x:v>
      </x:c>
      <x:c r="F32" s="4" t="str">
        <x:v>Spain and Americas</x:v>
      </x:c>
      <x:c r="G32" s="4" t="str">
        <x:v>Latn</x:v>
      </x:c>
      <x:c r="H32" s="4" t="str"/>
      <x:c r="I32" s="4" t="str"/>
      <x:c r="J32" s="4" t="str"/>
      <x:c r="K32" s="17" t="str"/>
      <x:c r="L32" s="4" t="str">
        <x:v>ring_theory</x:v>
      </x:c>
      <x:c r="M32" s="4" t="str">
        <x:v>ring_theory</x:v>
      </x:c>
      <x:c r="N32" s="14" t="str">
        <x:v>transfer_manifest_subject_label_not_page_topic_review</x:v>
      </x:c>
      <x:c r="O32" s="4" t="str">
        <x:v>unresolved_register</x:v>
      </x:c>
      <x:c r="P32" s="14" t="str">
        <x:v>ES-B-002_notas-san-salvador</x:v>
      </x:c>
      <x:c r="Q32" s="4" t="str">
        <x:v>tex</x:v>
      </x:c>
      <x:c r="R32" s="25" t="str">
        <x:v>76466</x:v>
      </x:c>
      <x:c r="S32" s="4" t="str">
        <x:v>197692859DFAC8373DA1A3389FF3B0A03C1EACECAAE0EA206DF3E7680F12A18C</x:v>
      </x:c>
      <x:c r="T32" s="4" t="str">
        <x:v>197692859DFAC8373DA1A3389FF3B0A03C1EACECAAE0EA206DF3E7680F12A18C</x:v>
      </x:c>
      <x:c r="U32" s="4" t="str">
        <x:v>source_file_is_canonical_search_text</x:v>
      </x:c>
      <x:c r="V32" s="14" t="str"/>
      <x:c r="W32" s="14" t="str">
        <x:v>local_or_non_http_locator_omitted</x:v>
      </x:c>
      <x:c r="X32" s="4" t="str">
        <x:v>recovered_transfer_20260706</x:v>
      </x:c>
      <x:c r="Y32" s="14" t="str">
        <x:v>spanish-repo-tex-body-presence; source-witness-candidate; license-gap-no-clearance; not-promoted</x:v>
      </x:c>
      <x:c r="Z32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32" s="14" t="str">
        <x:v>unresolved_no_explicit_grant</x:v>
      </x:c>
      <x:c r="AB32" s="4" t="str">
        <x:v>match</x:v>
      </x:c>
      <x:c r="AC32" s="14" t="str">
        <x:v>not_term_sense_reviewed</x:v>
      </x:c>
      <x:c r="AD32" s="4" t="str">
        <x:v>true</x:v>
      </x:c>
      <x:c r="AE32" s="4" t="str">
        <x:v>false</x:v>
      </x:c>
      <x:c r="AF32" s="4" t="str">
        <x:v>false</x:v>
      </x:c>
      <x:c r="AG32" s="14" t="str">
        <x:v>primary_unique</x:v>
      </x:c>
      <x:c r="AH32" s="25" t="str">
        <x:v>false</x:v>
      </x:c>
      <x:c r="AI32" s="4" t="str">
        <x:v>false</x:v>
      </x:c>
      <x:c r="AJ32" s="4" t="str">
        <x:v>preserved_noncounting_source_or_alias</x:v>
      </x:c>
      <x:c r="AK32" s="4" t="str">
        <x:v>false</x:v>
      </x:c>
      <x:c r="AL32" s="4" t="str">
        <x:v>false</x:v>
      </x:c>
      <x:c r="AM32" s="14" t="str"/>
      <x:c r="AN32" s="14" t="str">
        <x:v>not_declared</x:v>
      </x:c>
      <x:c r="AO32" s="4" t="str">
        <x:v>false</x:v>
      </x:c>
      <x:c r="AP32" s="14" t="str"/>
      <x:c r="AQ32" s="4" t="str"/>
    </x:row>
    <x:row r="33" ht="44" customHeight="1">
      <x:c r="A33" s="14" t="str">
        <x:v>TRANSFER-0039</x:v>
      </x:c>
      <x:c r="B33" s="14" t="str">
        <x:v>TRANSFER-ES-B-002_notas-san-salvador-outputs/source_canon_repo_text_probe/ES-B-002_notas-san-salvador/algebra-2019/2-polinomios-ejercicios.tex</x:v>
      </x:c>
      <x:c r="C33" s="4" t="str">
        <x:v>es</x:v>
      </x:c>
      <x:c r="D33" s="4" t="str">
        <x:v>es</x:v>
      </x:c>
      <x:c r="E33" s="14" t="str">
        <x:v>standard Spanish</x:v>
      </x:c>
      <x:c r="F33" s="4" t="str">
        <x:v>Spain and Americas</x:v>
      </x:c>
      <x:c r="G33" s="4" t="str">
        <x:v>Latn</x:v>
      </x:c>
      <x:c r="H33" s="4" t="str"/>
      <x:c r="I33" s="4" t="str"/>
      <x:c r="J33" s="4" t="str"/>
      <x:c r="K33" s="17" t="str"/>
      <x:c r="L33" s="4" t="str">
        <x:v>abstract_algebra</x:v>
      </x:c>
      <x:c r="M33" s="4" t="str">
        <x:v>abstract_algebra</x:v>
      </x:c>
      <x:c r="N33" s="14" t="str">
        <x:v>transfer_manifest_subject_label_not_page_topic_review</x:v>
      </x:c>
      <x:c r="O33" s="4" t="str">
        <x:v>unresolved_register</x:v>
      </x:c>
      <x:c r="P33" s="14" t="str">
        <x:v>ES-B-002_notas-san-salvador</x:v>
      </x:c>
      <x:c r="Q33" s="4" t="str">
        <x:v>tex</x:v>
      </x:c>
      <x:c r="R33" s="25" t="str">
        <x:v>7962</x:v>
      </x:c>
      <x:c r="S33" s="4" t="str">
        <x:v>F66DF9AB9D6FFE094607FAFA6593EDF819498B9934D0B52CDABD75D8DD66F1B6</x:v>
      </x:c>
      <x:c r="T33" s="4" t="str">
        <x:v>F66DF9AB9D6FFE094607FAFA6593EDF819498B9934D0B52CDABD75D8DD66F1B6</x:v>
      </x:c>
      <x:c r="U33" s="4" t="str">
        <x:v>source_file_is_canonical_search_text</x:v>
      </x:c>
      <x:c r="V33" s="14" t="str"/>
      <x:c r="W33" s="14" t="str">
        <x:v>local_or_non_http_locator_omitted</x:v>
      </x:c>
      <x:c r="X33" s="4" t="str">
        <x:v>recovered_transfer_20260706</x:v>
      </x:c>
      <x:c r="Y33" s="14" t="str">
        <x:v>spanish-repo-tex-body-presence; source-witness-candidate; license-gap-no-clearance; not-promoted</x:v>
      </x:c>
      <x:c r="Z33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33" s="14" t="str">
        <x:v>unresolved_no_explicit_grant</x:v>
      </x:c>
      <x:c r="AB33" s="4" t="str">
        <x:v>match</x:v>
      </x:c>
      <x:c r="AC33" s="14" t="str">
        <x:v>not_term_sense_reviewed</x:v>
      </x:c>
      <x:c r="AD33" s="4" t="str">
        <x:v>true</x:v>
      </x:c>
      <x:c r="AE33" s="4" t="str">
        <x:v>false</x:v>
      </x:c>
      <x:c r="AF33" s="4" t="str">
        <x:v>false</x:v>
      </x:c>
      <x:c r="AG33" s="14" t="str">
        <x:v>primary_unique</x:v>
      </x:c>
      <x:c r="AH33" s="25" t="str">
        <x:v>false</x:v>
      </x:c>
      <x:c r="AI33" s="4" t="str">
        <x:v>false</x:v>
      </x:c>
      <x:c r="AJ33" s="4" t="str">
        <x:v>preserved_noncounting_source_or_alias</x:v>
      </x:c>
      <x:c r="AK33" s="4" t="str">
        <x:v>false</x:v>
      </x:c>
      <x:c r="AL33" s="4" t="str">
        <x:v>false</x:v>
      </x:c>
      <x:c r="AM33" s="14" t="str"/>
      <x:c r="AN33" s="14" t="str">
        <x:v>not_declared</x:v>
      </x:c>
      <x:c r="AO33" s="4" t="str">
        <x:v>false</x:v>
      </x:c>
      <x:c r="AP33" s="14" t="str"/>
      <x:c r="AQ33" s="4" t="str"/>
    </x:row>
    <x:row r="34" ht="44" customHeight="1">
      <x:c r="A34" s="14" t="str">
        <x:v>TRANSFER-0040</x:v>
      </x:c>
      <x:c r="B34" s="14" t="str">
        <x:v>TRANSFER-ES-B-002_notas-san-salvador-outputs/source_canon_repo_text_probe/ES-B-002_notas-san-salvador/algebra-2019/2-polinomios.tex</x:v>
      </x:c>
      <x:c r="C34" s="4" t="str">
        <x:v>es</x:v>
      </x:c>
      <x:c r="D34" s="4" t="str">
        <x:v>es</x:v>
      </x:c>
      <x:c r="E34" s="14" t="str">
        <x:v>standard Spanish</x:v>
      </x:c>
      <x:c r="F34" s="4" t="str">
        <x:v>Spain and Americas</x:v>
      </x:c>
      <x:c r="G34" s="4" t="str">
        <x:v>Latn</x:v>
      </x:c>
      <x:c r="H34" s="4" t="str"/>
      <x:c r="I34" s="4" t="str"/>
      <x:c r="J34" s="4" t="str"/>
      <x:c r="K34" s="17" t="str"/>
      <x:c r="L34" s="4" t="str">
        <x:v>abstract_algebra</x:v>
      </x:c>
      <x:c r="M34" s="4" t="str">
        <x:v>abstract_algebra</x:v>
      </x:c>
      <x:c r="N34" s="14" t="str">
        <x:v>transfer_manifest_subject_label_not_page_topic_review</x:v>
      </x:c>
      <x:c r="O34" s="4" t="str">
        <x:v>unresolved_register</x:v>
      </x:c>
      <x:c r="P34" s="14" t="str">
        <x:v>ES-B-002_notas-san-salvador</x:v>
      </x:c>
      <x:c r="Q34" s="4" t="str">
        <x:v>tex</x:v>
      </x:c>
      <x:c r="R34" s="25" t="str">
        <x:v>36337</x:v>
      </x:c>
      <x:c r="S34" s="4" t="str">
        <x:v>75EE22A896D250364BEA923BBE470A3CCD7343E67F213F539AA3EFD0601D7A66</x:v>
      </x:c>
      <x:c r="T34" s="4" t="str">
        <x:v>75EE22A896D250364BEA923BBE470A3CCD7343E67F213F539AA3EFD0601D7A66</x:v>
      </x:c>
      <x:c r="U34" s="4" t="str">
        <x:v>source_file_is_canonical_search_text</x:v>
      </x:c>
      <x:c r="V34" s="14" t="str"/>
      <x:c r="W34" s="14" t="str">
        <x:v>local_or_non_http_locator_omitted</x:v>
      </x:c>
      <x:c r="X34" s="4" t="str">
        <x:v>recovered_transfer_20260706</x:v>
      </x:c>
      <x:c r="Y34" s="14" t="str">
        <x:v>spanish-repo-tex-body-presence; source-witness-candidate; license-gap-no-clearance; not-promoted</x:v>
      </x:c>
      <x:c r="Z34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34" s="14" t="str">
        <x:v>unresolved_no_explicit_grant</x:v>
      </x:c>
      <x:c r="AB34" s="4" t="str">
        <x:v>match</x:v>
      </x:c>
      <x:c r="AC34" s="14" t="str">
        <x:v>not_term_sense_reviewed</x:v>
      </x:c>
      <x:c r="AD34" s="4" t="str">
        <x:v>true</x:v>
      </x:c>
      <x:c r="AE34" s="4" t="str">
        <x:v>false</x:v>
      </x:c>
      <x:c r="AF34" s="4" t="str">
        <x:v>false</x:v>
      </x:c>
      <x:c r="AG34" s="14" t="str">
        <x:v>primary_unique</x:v>
      </x:c>
      <x:c r="AH34" s="25" t="str">
        <x:v>false</x:v>
      </x:c>
      <x:c r="AI34" s="4" t="str">
        <x:v>false</x:v>
      </x:c>
      <x:c r="AJ34" s="4" t="str">
        <x:v>preserved_noncounting_source_or_alias</x:v>
      </x:c>
      <x:c r="AK34" s="4" t="str">
        <x:v>false</x:v>
      </x:c>
      <x:c r="AL34" s="4" t="str">
        <x:v>false</x:v>
      </x:c>
      <x:c r="AM34" s="14" t="str"/>
      <x:c r="AN34" s="14" t="str">
        <x:v>not_declared</x:v>
      </x:c>
      <x:c r="AO34" s="4" t="str">
        <x:v>false</x:v>
      </x:c>
      <x:c r="AP34" s="14" t="str"/>
      <x:c r="AQ34" s="4" t="str"/>
    </x:row>
    <x:row r="35" ht="44" customHeight="1">
      <x:c r="A35" s="14" t="str">
        <x:v>TRANSFER-0041</x:v>
      </x:c>
      <x:c r="B35" s="14" t="str">
        <x:v>TRANSFER-ES-B-002_notas-san-salvador-outputs/source_canon_repo_text_probe/ES-B-002_notas-san-salvador/algebra-2019/a-alfabeto.tex</x:v>
      </x:c>
      <x:c r="C35" s="4" t="str">
        <x:v>es</x:v>
      </x:c>
      <x:c r="D35" s="4" t="str">
        <x:v>es</x:v>
      </x:c>
      <x:c r="E35" s="14" t="str">
        <x:v>standard Spanish</x:v>
      </x:c>
      <x:c r="F35" s="4" t="str">
        <x:v>Spain and Americas</x:v>
      </x:c>
      <x:c r="G35" s="4" t="str">
        <x:v>Latn</x:v>
      </x:c>
      <x:c r="H35" s="4" t="str"/>
      <x:c r="I35" s="4" t="str"/>
      <x:c r="J35" s="4" t="str"/>
      <x:c r="K35" s="17" t="str"/>
      <x:c r="L35" s="4" t="str">
        <x:v>abstract_algebra</x:v>
      </x:c>
      <x:c r="M35" s="4" t="str">
        <x:v>abstract_algebra</x:v>
      </x:c>
      <x:c r="N35" s="14" t="str">
        <x:v>transfer_manifest_subject_label_not_page_topic_review</x:v>
      </x:c>
      <x:c r="O35" s="4" t="str">
        <x:v>unresolved_register</x:v>
      </x:c>
      <x:c r="P35" s="14" t="str">
        <x:v>ES-B-002_notas-san-salvador</x:v>
      </x:c>
      <x:c r="Q35" s="4" t="str">
        <x:v>tex</x:v>
      </x:c>
      <x:c r="R35" s="25" t="str">
        <x:v>3218</x:v>
      </x:c>
      <x:c r="S35" s="4" t="str">
        <x:v>08D04F28DA63B01BB8F1FB21EEF0D6C6F50AFD3D1FC4FF4699F96AD2E606C275</x:v>
      </x:c>
      <x:c r="T35" s="4" t="str">
        <x:v>08D04F28DA63B01BB8F1FB21EEF0D6C6F50AFD3D1FC4FF4699F96AD2E606C275</x:v>
      </x:c>
      <x:c r="U35" s="4" t="str">
        <x:v>source_file_is_canonical_search_text</x:v>
      </x:c>
      <x:c r="V35" s="14" t="str"/>
      <x:c r="W35" s="14" t="str">
        <x:v>local_or_non_http_locator_omitted</x:v>
      </x:c>
      <x:c r="X35" s="4" t="str">
        <x:v>recovered_transfer_20260706</x:v>
      </x:c>
      <x:c r="Y35" s="14" t="str">
        <x:v>spanish-repo-tex-body-presence; source-witness-candidate; license-gap-no-clearance; not-promoted</x:v>
      </x:c>
      <x:c r="Z35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35" s="14" t="str">
        <x:v>unresolved_no_explicit_grant</x:v>
      </x:c>
      <x:c r="AB35" s="4" t="str">
        <x:v>match</x:v>
      </x:c>
      <x:c r="AC35" s="14" t="str">
        <x:v>not_term_sense_reviewed</x:v>
      </x:c>
      <x:c r="AD35" s="4" t="str">
        <x:v>true</x:v>
      </x:c>
      <x:c r="AE35" s="4" t="str">
        <x:v>false</x:v>
      </x:c>
      <x:c r="AF35" s="4" t="str">
        <x:v>false</x:v>
      </x:c>
      <x:c r="AG35" s="14" t="str">
        <x:v>primary_unique</x:v>
      </x:c>
      <x:c r="AH35" s="25" t="str">
        <x:v>false</x:v>
      </x:c>
      <x:c r="AI35" s="4" t="str">
        <x:v>false</x:v>
      </x:c>
      <x:c r="AJ35" s="4" t="str">
        <x:v>preserved_noncounting_source_or_alias</x:v>
      </x:c>
      <x:c r="AK35" s="4" t="str">
        <x:v>false</x:v>
      </x:c>
      <x:c r="AL35" s="4" t="str">
        <x:v>false</x:v>
      </x:c>
      <x:c r="AM35" s="14" t="str"/>
      <x:c r="AN35" s="14" t="str">
        <x:v>not_declared</x:v>
      </x:c>
      <x:c r="AO35" s="4" t="str">
        <x:v>false</x:v>
      </x:c>
      <x:c r="AP35" s="14" t="str"/>
      <x:c r="AQ35" s="4" t="str"/>
    </x:row>
    <x:row r="36" ht="44" customHeight="1">
      <x:c r="A36" s="14" t="str">
        <x:v>TRANSFER-0042</x:v>
      </x:c>
      <x:c r="B36" s="14" t="str">
        <x:v>TRANSFER-ES-B-002_notas-san-salvador-outputs/source_canon_repo_text_probe/ES-B-002_notas-san-salvador/algebra-2019/b-pari.tex</x:v>
      </x:c>
      <x:c r="C36" s="4" t="str">
        <x:v>es</x:v>
      </x:c>
      <x:c r="D36" s="4" t="str">
        <x:v>es</x:v>
      </x:c>
      <x:c r="E36" s="14" t="str">
        <x:v>standard Spanish</x:v>
      </x:c>
      <x:c r="F36" s="4" t="str">
        <x:v>Spain and Americas</x:v>
      </x:c>
      <x:c r="G36" s="4" t="str">
        <x:v>Latn</x:v>
      </x:c>
      <x:c r="H36" s="4" t="str"/>
      <x:c r="I36" s="4" t="str"/>
      <x:c r="J36" s="4" t="str"/>
      <x:c r="K36" s="17" t="str"/>
      <x:c r="L36" s="4" t="str">
        <x:v>abstract_algebra</x:v>
      </x:c>
      <x:c r="M36" s="4" t="str">
        <x:v>abstract_algebra</x:v>
      </x:c>
      <x:c r="N36" s="14" t="str">
        <x:v>transfer_manifest_subject_label_not_page_topic_review</x:v>
      </x:c>
      <x:c r="O36" s="4" t="str">
        <x:v>unresolved_register</x:v>
      </x:c>
      <x:c r="P36" s="14" t="str">
        <x:v>ES-B-002_notas-san-salvador</x:v>
      </x:c>
      <x:c r="Q36" s="4" t="str">
        <x:v>tex</x:v>
      </x:c>
      <x:c r="R36" s="25" t="str">
        <x:v>32595</x:v>
      </x:c>
      <x:c r="S36" s="4" t="str">
        <x:v>97BE83CA96C0EED3A0B466FFEC110D69716A54F9647674FC4C7DE3798759EB21</x:v>
      </x:c>
      <x:c r="T36" s="4" t="str">
        <x:v>97BE83CA96C0EED3A0B466FFEC110D69716A54F9647674FC4C7DE3798759EB21</x:v>
      </x:c>
      <x:c r="U36" s="4" t="str">
        <x:v>source_file_is_canonical_search_text</x:v>
      </x:c>
      <x:c r="V36" s="14" t="str"/>
      <x:c r="W36" s="14" t="str">
        <x:v>local_or_non_http_locator_omitted</x:v>
      </x:c>
      <x:c r="X36" s="4" t="str">
        <x:v>recovered_transfer_20260706</x:v>
      </x:c>
      <x:c r="Y36" s="14" t="str">
        <x:v>spanish-repo-tex-body-presence; source-witness-candidate; license-gap-no-clearance; not-promoted</x:v>
      </x:c>
      <x:c r="Z36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36" s="14" t="str">
        <x:v>unresolved_no_explicit_grant</x:v>
      </x:c>
      <x:c r="AB36" s="4" t="str">
        <x:v>match</x:v>
      </x:c>
      <x:c r="AC36" s="14" t="str">
        <x:v>not_term_sense_reviewed</x:v>
      </x:c>
      <x:c r="AD36" s="4" t="str">
        <x:v>true</x:v>
      </x:c>
      <x:c r="AE36" s="4" t="str">
        <x:v>false</x:v>
      </x:c>
      <x:c r="AF36" s="4" t="str">
        <x:v>false</x:v>
      </x:c>
      <x:c r="AG36" s="14" t="str">
        <x:v>primary_unique</x:v>
      </x:c>
      <x:c r="AH36" s="25" t="str">
        <x:v>false</x:v>
      </x:c>
      <x:c r="AI36" s="4" t="str">
        <x:v>false</x:v>
      </x:c>
      <x:c r="AJ36" s="4" t="str">
        <x:v>preserved_noncounting_source_or_alias</x:v>
      </x:c>
      <x:c r="AK36" s="4" t="str">
        <x:v>false</x:v>
      </x:c>
      <x:c r="AL36" s="4" t="str">
        <x:v>false</x:v>
      </x:c>
      <x:c r="AM36" s="14" t="str"/>
      <x:c r="AN36" s="14" t="str">
        <x:v>not_declared</x:v>
      </x:c>
      <x:c r="AO36" s="4" t="str">
        <x:v>false</x:v>
      </x:c>
      <x:c r="AP36" s="14" t="str"/>
      <x:c r="AQ36" s="4" t="str"/>
    </x:row>
    <x:row r="37" ht="44" customHeight="1">
      <x:c r="A37" s="14" t="str">
        <x:v>TRANSFER-0043</x:v>
      </x:c>
      <x:c r="B37" s="14" t="str">
        <x:v>TRANSFER-ES-B-002_notas-san-salvador-outputs/source_canon_repo_text_probe/ES-B-002_notas-san-salvador/algebra-2019/extra/divisibilidad-en-Z.tex</x:v>
      </x:c>
      <x:c r="C37" s="4" t="str">
        <x:v>es</x:v>
      </x:c>
      <x:c r="D37" s="4" t="str">
        <x:v>es</x:v>
      </x:c>
      <x:c r="E37" s="14" t="str">
        <x:v>standard Spanish</x:v>
      </x:c>
      <x:c r="F37" s="4" t="str">
        <x:v>Spain and Americas</x:v>
      </x:c>
      <x:c r="G37" s="4" t="str">
        <x:v>Latn</x:v>
      </x:c>
      <x:c r="H37" s="4" t="str"/>
      <x:c r="I37" s="4" t="str"/>
      <x:c r="J37" s="4" t="str"/>
      <x:c r="K37" s="17" t="str"/>
      <x:c r="L37" s="4" t="str">
        <x:v>abstract_algebra</x:v>
      </x:c>
      <x:c r="M37" s="4" t="str">
        <x:v>abstract_algebra</x:v>
      </x:c>
      <x:c r="N37" s="14" t="str">
        <x:v>transfer_manifest_subject_label_not_page_topic_review</x:v>
      </x:c>
      <x:c r="O37" s="4" t="str">
        <x:v>unresolved_register</x:v>
      </x:c>
      <x:c r="P37" s="14" t="str">
        <x:v>ES-B-002_notas-san-salvador</x:v>
      </x:c>
      <x:c r="Q37" s="4" t="str">
        <x:v>tex</x:v>
      </x:c>
      <x:c r="R37" s="25" t="str">
        <x:v>20662</x:v>
      </x:c>
      <x:c r="S37" s="4" t="str">
        <x:v>38ECD8C6F8DFEEFEE64BC7E9ACDB0BE02C855D2F751D757C25601B4332D91880</x:v>
      </x:c>
      <x:c r="T37" s="4" t="str">
        <x:v>38ECD8C6F8DFEEFEE64BC7E9ACDB0BE02C855D2F751D757C25601B4332D91880</x:v>
      </x:c>
      <x:c r="U37" s="4" t="str">
        <x:v>source_file_is_canonical_search_text</x:v>
      </x:c>
      <x:c r="V37" s="14" t="str"/>
      <x:c r="W37" s="14" t="str">
        <x:v>local_or_non_http_locator_omitted</x:v>
      </x:c>
      <x:c r="X37" s="4" t="str">
        <x:v>recovered_transfer_20260706</x:v>
      </x:c>
      <x:c r="Y37" s="14" t="str">
        <x:v>spanish-repo-tex-body-presence; source-witness-candidate; license-gap-no-clearance; not-promoted</x:v>
      </x:c>
      <x:c r="Z37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37" s="14" t="str">
        <x:v>unresolved_no_explicit_grant</x:v>
      </x:c>
      <x:c r="AB37" s="4" t="str">
        <x:v>match</x:v>
      </x:c>
      <x:c r="AC37" s="14" t="str">
        <x:v>not_term_sense_reviewed</x:v>
      </x:c>
      <x:c r="AD37" s="4" t="str">
        <x:v>true</x:v>
      </x:c>
      <x:c r="AE37" s="4" t="str">
        <x:v>false</x:v>
      </x:c>
      <x:c r="AF37" s="4" t="str">
        <x:v>false</x:v>
      </x:c>
      <x:c r="AG37" s="14" t="str">
        <x:v>primary_unique</x:v>
      </x:c>
      <x:c r="AH37" s="25" t="str">
        <x:v>false</x:v>
      </x:c>
      <x:c r="AI37" s="4" t="str">
        <x:v>false</x:v>
      </x:c>
      <x:c r="AJ37" s="4" t="str">
        <x:v>preserved_noncounting_source_or_alias</x:v>
      </x:c>
      <x:c r="AK37" s="4" t="str">
        <x:v>false</x:v>
      </x:c>
      <x:c r="AL37" s="4" t="str">
        <x:v>false</x:v>
      </x:c>
      <x:c r="AM37" s="14" t="str"/>
      <x:c r="AN37" s="14" t="str">
        <x:v>not_declared</x:v>
      </x:c>
      <x:c r="AO37" s="4" t="str">
        <x:v>false</x:v>
      </x:c>
      <x:c r="AP37" s="14" t="str"/>
      <x:c r="AQ37" s="4" t="str"/>
    </x:row>
    <x:row r="38" ht="44" customHeight="1">
      <x:c r="A38" s="14" t="str">
        <x:v>TRANSFER-0044</x:v>
      </x:c>
      <x:c r="B38" s="14" t="str">
        <x:v>TRANSFER-ES-B-002_notas-san-salvador-outputs/source_canon_repo_text_probe/ES-B-002_notas-san-salvador/algebra-2019/extra/teorema-fundamental-del-algebra.tex</x:v>
      </x:c>
      <x:c r="C38" s="4" t="str">
        <x:v>es</x:v>
      </x:c>
      <x:c r="D38" s="4" t="str">
        <x:v>es</x:v>
      </x:c>
      <x:c r="E38" s="14" t="str">
        <x:v>standard Spanish</x:v>
      </x:c>
      <x:c r="F38" s="4" t="str">
        <x:v>Spain and Americas</x:v>
      </x:c>
      <x:c r="G38" s="4" t="str">
        <x:v>Latn</x:v>
      </x:c>
      <x:c r="H38" s="4" t="str"/>
      <x:c r="I38" s="4" t="str"/>
      <x:c r="J38" s="4" t="str"/>
      <x:c r="K38" s="17" t="str"/>
      <x:c r="L38" s="4" t="str">
        <x:v>abstract_algebra</x:v>
      </x:c>
      <x:c r="M38" s="4" t="str">
        <x:v>abstract_algebra</x:v>
      </x:c>
      <x:c r="N38" s="14" t="str">
        <x:v>transfer_manifest_subject_label_not_page_topic_review</x:v>
      </x:c>
      <x:c r="O38" s="4" t="str">
        <x:v>unresolved_register</x:v>
      </x:c>
      <x:c r="P38" s="14" t="str">
        <x:v>ES-B-002_notas-san-salvador</x:v>
      </x:c>
      <x:c r="Q38" s="4" t="str">
        <x:v>tex</x:v>
      </x:c>
      <x:c r="R38" s="25" t="str">
        <x:v>12811</x:v>
      </x:c>
      <x:c r="S38" s="4" t="str">
        <x:v>8E73D04A9AC7F79ED716A54E70303A5FB4F03D3CB891DF79587E34D71C2E6F87</x:v>
      </x:c>
      <x:c r="T38" s="4" t="str">
        <x:v>8E73D04A9AC7F79ED716A54E70303A5FB4F03D3CB891DF79587E34D71C2E6F87</x:v>
      </x:c>
      <x:c r="U38" s="4" t="str">
        <x:v>source_file_is_canonical_search_text</x:v>
      </x:c>
      <x:c r="V38" s="14" t="str"/>
      <x:c r="W38" s="14" t="str">
        <x:v>local_or_non_http_locator_omitted</x:v>
      </x:c>
      <x:c r="X38" s="4" t="str">
        <x:v>recovered_transfer_20260706</x:v>
      </x:c>
      <x:c r="Y38" s="14" t="str">
        <x:v>spanish-repo-tex-body-presence; source-witness-candidate; license-gap-no-clearance; not-promoted</x:v>
      </x:c>
      <x:c r="Z38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38" s="14" t="str">
        <x:v>unresolved_no_explicit_grant</x:v>
      </x:c>
      <x:c r="AB38" s="4" t="str">
        <x:v>match</x:v>
      </x:c>
      <x:c r="AC38" s="14" t="str">
        <x:v>not_term_sense_reviewed</x:v>
      </x:c>
      <x:c r="AD38" s="4" t="str">
        <x:v>true</x:v>
      </x:c>
      <x:c r="AE38" s="4" t="str">
        <x:v>false</x:v>
      </x:c>
      <x:c r="AF38" s="4" t="str">
        <x:v>false</x:v>
      </x:c>
      <x:c r="AG38" s="14" t="str">
        <x:v>primary_unique</x:v>
      </x:c>
      <x:c r="AH38" s="25" t="str">
        <x:v>false</x:v>
      </x:c>
      <x:c r="AI38" s="4" t="str">
        <x:v>false</x:v>
      </x:c>
      <x:c r="AJ38" s="4" t="str">
        <x:v>preserved_noncounting_source_or_alias</x:v>
      </x:c>
      <x:c r="AK38" s="4" t="str">
        <x:v>false</x:v>
      </x:c>
      <x:c r="AL38" s="4" t="str">
        <x:v>false</x:v>
      </x:c>
      <x:c r="AM38" s="14" t="str"/>
      <x:c r="AN38" s="14" t="str">
        <x:v>not_declared</x:v>
      </x:c>
      <x:c r="AO38" s="4" t="str">
        <x:v>false</x:v>
      </x:c>
      <x:c r="AP38" s="14" t="str"/>
      <x:c r="AQ38" s="4" t="str"/>
    </x:row>
    <x:row r="39" ht="44" customHeight="1">
      <x:c r="A39" s="14" t="str">
        <x:v>TRANSFER-0045</x:v>
      </x:c>
      <x:c r="B39" s="14" t="str">
        <x:v>TRANSFER-ES-B-002_notas-san-salvador-outputs/source_canon_repo_text_probe/ES-B-002_notas-san-salvador/algebra-2019/suficiencia/algebra-1-2019-preguntas.tex</x:v>
      </x:c>
      <x:c r="C39" s="4" t="str">
        <x:v>es</x:v>
      </x:c>
      <x:c r="D39" s="4" t="str">
        <x:v>es</x:v>
      </x:c>
      <x:c r="E39" s="14" t="str">
        <x:v>standard Spanish</x:v>
      </x:c>
      <x:c r="F39" s="4" t="str">
        <x:v>Spain and Americas</x:v>
      </x:c>
      <x:c r="G39" s="4" t="str">
        <x:v>Latn</x:v>
      </x:c>
      <x:c r="H39" s="4" t="str"/>
      <x:c r="I39" s="4" t="str"/>
      <x:c r="J39" s="4" t="str"/>
      <x:c r="K39" s="17" t="str"/>
      <x:c r="L39" s="4" t="str">
        <x:v>abstract_algebra</x:v>
      </x:c>
      <x:c r="M39" s="4" t="str">
        <x:v>abstract_algebra</x:v>
      </x:c>
      <x:c r="N39" s="14" t="str">
        <x:v>transfer_manifest_subject_label_not_page_topic_review</x:v>
      </x:c>
      <x:c r="O39" s="4" t="str">
        <x:v>unresolved_register</x:v>
      </x:c>
      <x:c r="P39" s="14" t="str">
        <x:v>ES-B-002_notas-san-salvador</x:v>
      </x:c>
      <x:c r="Q39" s="4" t="str">
        <x:v>tex</x:v>
      </x:c>
      <x:c r="R39" s="25" t="str">
        <x:v>1692</x:v>
      </x:c>
      <x:c r="S39" s="4" t="str">
        <x:v>461237C23F6FBB580BF52B7A2186DFD77B6F4DEE4CA222773965425B6206E8C3</x:v>
      </x:c>
      <x:c r="T39" s="4" t="str">
        <x:v>461237C23F6FBB580BF52B7A2186DFD77B6F4DEE4CA222773965425B6206E8C3</x:v>
      </x:c>
      <x:c r="U39" s="4" t="str">
        <x:v>source_file_is_canonical_search_text</x:v>
      </x:c>
      <x:c r="V39" s="14" t="str"/>
      <x:c r="W39" s="14" t="str">
        <x:v>local_or_non_http_locator_omitted</x:v>
      </x:c>
      <x:c r="X39" s="4" t="str">
        <x:v>recovered_transfer_20260706</x:v>
      </x:c>
      <x:c r="Y39" s="14" t="str">
        <x:v>spanish-repo-tex-body-presence; source-witness-candidate; license-gap-no-clearance; not-promoted</x:v>
      </x:c>
      <x:c r="Z39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39" s="14" t="str">
        <x:v>unresolved_no_explicit_grant</x:v>
      </x:c>
      <x:c r="AB39" s="4" t="str">
        <x:v>match</x:v>
      </x:c>
      <x:c r="AC39" s="14" t="str">
        <x:v>not_term_sense_reviewed</x:v>
      </x:c>
      <x:c r="AD39" s="4" t="str">
        <x:v>true</x:v>
      </x:c>
      <x:c r="AE39" s="4" t="str">
        <x:v>false</x:v>
      </x:c>
      <x:c r="AF39" s="4" t="str">
        <x:v>false</x:v>
      </x:c>
      <x:c r="AG39" s="14" t="str">
        <x:v>primary_unique</x:v>
      </x:c>
      <x:c r="AH39" s="25" t="str">
        <x:v>false</x:v>
      </x:c>
      <x:c r="AI39" s="4" t="str">
        <x:v>false</x:v>
      </x:c>
      <x:c r="AJ39" s="4" t="str">
        <x:v>preserved_noncounting_source_or_alias</x:v>
      </x:c>
      <x:c r="AK39" s="4" t="str">
        <x:v>false</x:v>
      </x:c>
      <x:c r="AL39" s="4" t="str">
        <x:v>false</x:v>
      </x:c>
      <x:c r="AM39" s="14" t="str"/>
      <x:c r="AN39" s="14" t="str">
        <x:v>not_declared</x:v>
      </x:c>
      <x:c r="AO39" s="4" t="str">
        <x:v>false</x:v>
      </x:c>
      <x:c r="AP39" s="14" t="str"/>
      <x:c r="AQ39" s="4" t="str"/>
    </x:row>
    <x:row r="40" ht="44" customHeight="1">
      <x:c r="A40" s="14" t="str">
        <x:v>TRANSFER-0046</x:v>
      </x:c>
      <x:c r="B40" s="14" t="str">
        <x:v>TRANSFER-ES-B-002_notas-san-salvador-outputs/source_canon_repo_text_probe/ES-B-002_notas-san-salvador/algebra-2019/suficiencia/algebra-1-2019-suficiencia.tex</x:v>
      </x:c>
      <x:c r="C40" s="4" t="str">
        <x:v>es</x:v>
      </x:c>
      <x:c r="D40" s="4" t="str">
        <x:v>es</x:v>
      </x:c>
      <x:c r="E40" s="14" t="str">
        <x:v>standard Spanish</x:v>
      </x:c>
      <x:c r="F40" s="4" t="str">
        <x:v>Spain and Americas</x:v>
      </x:c>
      <x:c r="G40" s="4" t="str">
        <x:v>Latn</x:v>
      </x:c>
      <x:c r="H40" s="4" t="str"/>
      <x:c r="I40" s="4" t="str"/>
      <x:c r="J40" s="4" t="str"/>
      <x:c r="K40" s="17" t="str"/>
      <x:c r="L40" s="4" t="str">
        <x:v>abstract_algebra</x:v>
      </x:c>
      <x:c r="M40" s="4" t="str">
        <x:v>abstract_algebra</x:v>
      </x:c>
      <x:c r="N40" s="14" t="str">
        <x:v>transfer_manifest_subject_label_not_page_topic_review</x:v>
      </x:c>
      <x:c r="O40" s="4" t="str">
        <x:v>unresolved_register</x:v>
      </x:c>
      <x:c r="P40" s="14" t="str">
        <x:v>ES-B-002_notas-san-salvador</x:v>
      </x:c>
      <x:c r="Q40" s="4" t="str">
        <x:v>tex</x:v>
      </x:c>
      <x:c r="R40" s="25" t="str">
        <x:v>8151</x:v>
      </x:c>
      <x:c r="S40" s="4" t="str">
        <x:v>DB46B4EBA24506654028B525CFC55D0A14429E29CCB20CF2E6C80C437A884590</x:v>
      </x:c>
      <x:c r="T40" s="4" t="str">
        <x:v>DB46B4EBA24506654028B525CFC55D0A14429E29CCB20CF2E6C80C437A884590</x:v>
      </x:c>
      <x:c r="U40" s="4" t="str">
        <x:v>source_file_is_canonical_search_text</x:v>
      </x:c>
      <x:c r="V40" s="14" t="str"/>
      <x:c r="W40" s="14" t="str">
        <x:v>local_or_non_http_locator_omitted</x:v>
      </x:c>
      <x:c r="X40" s="4" t="str">
        <x:v>recovered_transfer_20260706</x:v>
      </x:c>
      <x:c r="Y40" s="14" t="str">
        <x:v>spanish-repo-tex-body-presence; source-witness-candidate; license-gap-no-clearance; not-promoted</x:v>
      </x:c>
      <x:c r="Z40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40" s="14" t="str">
        <x:v>unresolved_no_explicit_grant</x:v>
      </x:c>
      <x:c r="AB40" s="4" t="str">
        <x:v>match</x:v>
      </x:c>
      <x:c r="AC40" s="14" t="str">
        <x:v>not_term_sense_reviewed</x:v>
      </x:c>
      <x:c r="AD40" s="4" t="str">
        <x:v>true</x:v>
      </x:c>
      <x:c r="AE40" s="4" t="str">
        <x:v>false</x:v>
      </x:c>
      <x:c r="AF40" s="4" t="str">
        <x:v>false</x:v>
      </x:c>
      <x:c r="AG40" s="14" t="str">
        <x:v>primary_unique</x:v>
      </x:c>
      <x:c r="AH40" s="25" t="str">
        <x:v>false</x:v>
      </x:c>
      <x:c r="AI40" s="4" t="str">
        <x:v>false</x:v>
      </x:c>
      <x:c r="AJ40" s="4" t="str">
        <x:v>preserved_noncounting_source_or_alias</x:v>
      </x:c>
      <x:c r="AK40" s="4" t="str">
        <x:v>false</x:v>
      </x:c>
      <x:c r="AL40" s="4" t="str">
        <x:v>false</x:v>
      </x:c>
      <x:c r="AM40" s="14" t="str"/>
      <x:c r="AN40" s="14" t="str">
        <x:v>not_declared</x:v>
      </x:c>
      <x:c r="AO40" s="4" t="str">
        <x:v>false</x:v>
      </x:c>
      <x:c r="AP40" s="14" t="str"/>
      <x:c r="AQ40" s="4" t="str"/>
    </x:row>
    <x:row r="41" ht="44" customHeight="1">
      <x:c r="A41" s="14" t="str">
        <x:v>TRANSFER-0047</x:v>
      </x:c>
      <x:c r="B41" s="14" t="str">
        <x:v>TRANSFER-ES-B-002_notas-san-salvador-outputs/source_canon_repo_text_probe/ES-B-002_notas-san-salvador/bernoulli/bernoulli.bib</x:v>
      </x:c>
      <x:c r="C41" s="4" t="str">
        <x:v>es</x:v>
      </x:c>
      <x:c r="D41" s="4" t="str">
        <x:v>es</x:v>
      </x:c>
      <x:c r="E41" s="14" t="str">
        <x:v>standard Spanish</x:v>
      </x:c>
      <x:c r="F41" s="4" t="str">
        <x:v>Spain and Americas</x:v>
      </x:c>
      <x:c r="G41" s="4" t="str">
        <x:v>Latn</x:v>
      </x:c>
      <x:c r="H41" s="4" t="str"/>
      <x:c r="I41" s="4" t="str"/>
      <x:c r="J41" s="4" t="str"/>
      <x:c r="K41" s="17" t="str"/>
      <x:c r="L41" s="4" t="str">
        <x:v>mathematics_mixed</x:v>
      </x:c>
      <x:c r="M41" s="4" t="str">
        <x:v>mathematics_mixed</x:v>
      </x:c>
      <x:c r="N41" s="14" t="str">
        <x:v>transfer_manifest_subject_label_not_page_topic_review</x:v>
      </x:c>
      <x:c r="O41" s="4" t="str">
        <x:v>unresolved_register</x:v>
      </x:c>
      <x:c r="P41" s="14" t="str">
        <x:v>ES-B-002_notas-san-salvador</x:v>
      </x:c>
      <x:c r="Q41" s="4" t="str">
        <x:v>bib</x:v>
      </x:c>
      <x:c r="R41" s="25" t="str">
        <x:v>7982</x:v>
      </x:c>
      <x:c r="S41" s="4" t="str">
        <x:v>A4A2A89C35B83FA437E4BA6AC51AFBEE630C0CA77AA292A04583917B098D3C83</x:v>
      </x:c>
      <x:c r="T41" s="4" t="str">
        <x:v>A4A2A89C35B83FA437E4BA6AC51AFBEE630C0CA77AA292A04583917B098D3C83</x:v>
      </x:c>
      <x:c r="U41" s="4" t="str">
        <x:v>source_file_is_canonical_search_text</x:v>
      </x:c>
      <x:c r="V41" s="14" t="str"/>
      <x:c r="W41" s="14" t="str">
        <x:v>local_or_non_http_locator_omitted</x:v>
      </x:c>
      <x:c r="X41" s="4" t="str">
        <x:v>recovered_transfer_20260706</x:v>
      </x:c>
      <x:c r="Y41" s="14" t="str">
        <x:v>spanish-repo-tex-body-presence; source-witness-candidate; license-gap-no-clearance; not-promoted</x:v>
      </x:c>
      <x:c r="Z41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41" s="14" t="str">
        <x:v>unresolved_no_explicit_grant</x:v>
      </x:c>
      <x:c r="AB41" s="4" t="str">
        <x:v>match</x:v>
      </x:c>
      <x:c r="AC41" s="14" t="str">
        <x:v>not_term_sense_reviewed</x:v>
      </x:c>
      <x:c r="AD41" s="4" t="str">
        <x:v>true</x:v>
      </x:c>
      <x:c r="AE41" s="4" t="str">
        <x:v>false</x:v>
      </x:c>
      <x:c r="AF41" s="4" t="str">
        <x:v>false</x:v>
      </x:c>
      <x:c r="AG41" s="14" t="str">
        <x:v>primary_unique</x:v>
      </x:c>
      <x:c r="AH41" s="25" t="str">
        <x:v>false</x:v>
      </x:c>
      <x:c r="AI41" s="4" t="str">
        <x:v>false</x:v>
      </x:c>
      <x:c r="AJ41" s="4" t="str">
        <x:v>preserved_noncounting_source_or_alias</x:v>
      </x:c>
      <x:c r="AK41" s="4" t="str">
        <x:v>false</x:v>
      </x:c>
      <x:c r="AL41" s="4" t="str">
        <x:v>false</x:v>
      </x:c>
      <x:c r="AM41" s="14" t="str"/>
      <x:c r="AN41" s="14" t="str">
        <x:v>not_declared</x:v>
      </x:c>
      <x:c r="AO41" s="4" t="str">
        <x:v>false</x:v>
      </x:c>
      <x:c r="AP41" s="14" t="str"/>
      <x:c r="AQ41" s="4" t="str"/>
    </x:row>
    <x:row r="42" ht="44" customHeight="1">
      <x:c r="A42" s="14" t="str">
        <x:v>TRANSFER-0048</x:v>
      </x:c>
      <x:c r="B42" s="14" t="str">
        <x:v>TRANSFER-ES-B-002_notas-san-salvador-outputs/source_canon_repo_text_probe/ES-B-002_notas-san-salvador/bernoulli/bernoulli.tex</x:v>
      </x:c>
      <x:c r="C42" s="4" t="str">
        <x:v>es</x:v>
      </x:c>
      <x:c r="D42" s="4" t="str">
        <x:v>es</x:v>
      </x:c>
      <x:c r="E42" s="14" t="str">
        <x:v>standard Spanish</x:v>
      </x:c>
      <x:c r="F42" s="4" t="str">
        <x:v>Spain and Americas</x:v>
      </x:c>
      <x:c r="G42" s="4" t="str">
        <x:v>Latn</x:v>
      </x:c>
      <x:c r="H42" s="4" t="str"/>
      <x:c r="I42" s="4" t="str"/>
      <x:c r="J42" s="4" t="str"/>
      <x:c r="K42" s="17" t="str"/>
      <x:c r="L42" s="4" t="str">
        <x:v>mathematics_mixed</x:v>
      </x:c>
      <x:c r="M42" s="4" t="str">
        <x:v>mathematics_mixed</x:v>
      </x:c>
      <x:c r="N42" s="14" t="str">
        <x:v>transfer_manifest_subject_label_not_page_topic_review</x:v>
      </x:c>
      <x:c r="O42" s="4" t="str">
        <x:v>unresolved_register</x:v>
      </x:c>
      <x:c r="P42" s="14" t="str">
        <x:v>ES-B-002_notas-san-salvador</x:v>
      </x:c>
      <x:c r="Q42" s="4" t="str">
        <x:v>tex</x:v>
      </x:c>
      <x:c r="R42" s="25" t="str">
        <x:v>118063</x:v>
      </x:c>
      <x:c r="S42" s="4" t="str">
        <x:v>428038674D60AA12C07CB77794D3ECC0B9326A0DB1D329CC62805A4D92C4C917</x:v>
      </x:c>
      <x:c r="T42" s="4" t="str">
        <x:v>428038674D60AA12C07CB77794D3ECC0B9326A0DB1D329CC62805A4D92C4C917</x:v>
      </x:c>
      <x:c r="U42" s="4" t="str">
        <x:v>source_file_is_canonical_search_text</x:v>
      </x:c>
      <x:c r="V42" s="14" t="str"/>
      <x:c r="W42" s="14" t="str">
        <x:v>local_or_non_http_locator_omitted</x:v>
      </x:c>
      <x:c r="X42" s="4" t="str">
        <x:v>recovered_transfer_20260706</x:v>
      </x:c>
      <x:c r="Y42" s="14" t="str">
        <x:v>spanish-repo-tex-body-presence; source-witness-candidate; license-gap-no-clearance; not-promoted</x:v>
      </x:c>
      <x:c r="Z42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42" s="14" t="str">
        <x:v>unresolved_no_explicit_grant</x:v>
      </x:c>
      <x:c r="AB42" s="4" t="str">
        <x:v>match</x:v>
      </x:c>
      <x:c r="AC42" s="14" t="str">
        <x:v>not_term_sense_reviewed</x:v>
      </x:c>
      <x:c r="AD42" s="4" t="str">
        <x:v>true</x:v>
      </x:c>
      <x:c r="AE42" s="4" t="str">
        <x:v>false</x:v>
      </x:c>
      <x:c r="AF42" s="4" t="str">
        <x:v>false</x:v>
      </x:c>
      <x:c r="AG42" s="14" t="str">
        <x:v>primary_unique</x:v>
      </x:c>
      <x:c r="AH42" s="25" t="str">
        <x:v>false</x:v>
      </x:c>
      <x:c r="AI42" s="4" t="str">
        <x:v>false</x:v>
      </x:c>
      <x:c r="AJ42" s="4" t="str">
        <x:v>preserved_noncounting_source_or_alias</x:v>
      </x:c>
      <x:c r="AK42" s="4" t="str">
        <x:v>false</x:v>
      </x:c>
      <x:c r="AL42" s="4" t="str">
        <x:v>false</x:v>
      </x:c>
      <x:c r="AM42" s="14" t="str"/>
      <x:c r="AN42" s="14" t="str">
        <x:v>not_declared</x:v>
      </x:c>
      <x:c r="AO42" s="4" t="str">
        <x:v>false</x:v>
      </x:c>
      <x:c r="AP42" s="14" t="str"/>
      <x:c r="AQ42" s="4" t="str"/>
    </x:row>
    <x:row r="43" ht="44" customHeight="1">
      <x:c r="A43" s="14" t="str">
        <x:v>TRANSFER-0049</x:v>
      </x:c>
      <x:c r="B43" s="14" t="str">
        <x:v>TRANSFER-ES-B-002_notas-san-salvador-outputs/source_canon_repo_text_probe/ES-B-002_notas-san-salvador/bernoulli/ejercicios/congruencias.tex</x:v>
      </x:c>
      <x:c r="C43" s="4" t="str">
        <x:v>es</x:v>
      </x:c>
      <x:c r="D43" s="4" t="str">
        <x:v>es</x:v>
      </x:c>
      <x:c r="E43" s="14" t="str">
        <x:v>standard Spanish</x:v>
      </x:c>
      <x:c r="F43" s="4" t="str">
        <x:v>Spain and Americas</x:v>
      </x:c>
      <x:c r="G43" s="4" t="str">
        <x:v>Latn</x:v>
      </x:c>
      <x:c r="H43" s="4" t="str"/>
      <x:c r="I43" s="4" t="str"/>
      <x:c r="J43" s="4" t="str"/>
      <x:c r="K43" s="17" t="str"/>
      <x:c r="L43" s="4" t="str">
        <x:v>mathematics_mixed</x:v>
      </x:c>
      <x:c r="M43" s="4" t="str">
        <x:v>mathematics_mixed</x:v>
      </x:c>
      <x:c r="N43" s="14" t="str">
        <x:v>transfer_manifest_subject_label_not_page_topic_review</x:v>
      </x:c>
      <x:c r="O43" s="4" t="str">
        <x:v>unresolved_register</x:v>
      </x:c>
      <x:c r="P43" s="14" t="str">
        <x:v>ES-B-002_notas-san-salvador</x:v>
      </x:c>
      <x:c r="Q43" s="4" t="str">
        <x:v>tex</x:v>
      </x:c>
      <x:c r="R43" s="25" t="str">
        <x:v>13570</x:v>
      </x:c>
      <x:c r="S43" s="4" t="str">
        <x:v>42A2DE8A0250986AE4C93221261572D836D1E0FACC765F1AE56E01B79D915D8D</x:v>
      </x:c>
      <x:c r="T43" s="4" t="str">
        <x:v>42A2DE8A0250986AE4C93221261572D836D1E0FACC765F1AE56E01B79D915D8D</x:v>
      </x:c>
      <x:c r="U43" s="4" t="str">
        <x:v>source_file_is_canonical_search_text</x:v>
      </x:c>
      <x:c r="V43" s="14" t="str"/>
      <x:c r="W43" s="14" t="str">
        <x:v>local_or_non_http_locator_omitted</x:v>
      </x:c>
      <x:c r="X43" s="4" t="str">
        <x:v>recovered_transfer_20260706</x:v>
      </x:c>
      <x:c r="Y43" s="14" t="str">
        <x:v>spanish-repo-tex-body-presence; source-witness-candidate; license-gap-no-clearance; not-promoted</x:v>
      </x:c>
      <x:c r="Z43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43" s="14" t="str">
        <x:v>unresolved_no_explicit_grant</x:v>
      </x:c>
      <x:c r="AB43" s="4" t="str">
        <x:v>match</x:v>
      </x:c>
      <x:c r="AC43" s="14" t="str">
        <x:v>not_term_sense_reviewed</x:v>
      </x:c>
      <x:c r="AD43" s="4" t="str">
        <x:v>true</x:v>
      </x:c>
      <x:c r="AE43" s="4" t="str">
        <x:v>false</x:v>
      </x:c>
      <x:c r="AF43" s="4" t="str">
        <x:v>false</x:v>
      </x:c>
      <x:c r="AG43" s="14" t="str">
        <x:v>primary_unique</x:v>
      </x:c>
      <x:c r="AH43" s="25" t="str">
        <x:v>false</x:v>
      </x:c>
      <x:c r="AI43" s="4" t="str">
        <x:v>false</x:v>
      </x:c>
      <x:c r="AJ43" s="4" t="str">
        <x:v>preserved_noncounting_source_or_alias</x:v>
      </x:c>
      <x:c r="AK43" s="4" t="str">
        <x:v>false</x:v>
      </x:c>
      <x:c r="AL43" s="4" t="str">
        <x:v>false</x:v>
      </x:c>
      <x:c r="AM43" s="14" t="str"/>
      <x:c r="AN43" s="14" t="str">
        <x:v>not_declared</x:v>
      </x:c>
      <x:c r="AO43" s="4" t="str">
        <x:v>false</x:v>
      </x:c>
      <x:c r="AP43" s="14" t="str"/>
      <x:c r="AQ43" s="4" t="str"/>
    </x:row>
    <x:row r="44" ht="44" customHeight="1">
      <x:c r="A44" s="14" t="str">
        <x:v>TRANSFER-0050</x:v>
      </x:c>
      <x:c r="B44" s="14" t="str">
        <x:v>TRANSFER-ES-B-002_notas-san-salvador-outputs/source_canon_repo_text_probe/ES-B-002_notas-san-salvador/bernoulli/ejercicios/ejercicios-bernoulli.tex</x:v>
      </x:c>
      <x:c r="C44" s="4" t="str">
        <x:v>es</x:v>
      </x:c>
      <x:c r="D44" s="4" t="str">
        <x:v>es</x:v>
      </x:c>
      <x:c r="E44" s="14" t="str">
        <x:v>standard Spanish</x:v>
      </x:c>
      <x:c r="F44" s="4" t="str">
        <x:v>Spain and Americas</x:v>
      </x:c>
      <x:c r="G44" s="4" t="str">
        <x:v>Latn</x:v>
      </x:c>
      <x:c r="H44" s="4" t="str"/>
      <x:c r="I44" s="4" t="str"/>
      <x:c r="J44" s="4" t="str"/>
      <x:c r="K44" s="17" t="str"/>
      <x:c r="L44" s="4" t="str">
        <x:v>mathematics_mixed</x:v>
      </x:c>
      <x:c r="M44" s="4" t="str">
        <x:v>mathematics_mixed</x:v>
      </x:c>
      <x:c r="N44" s="14" t="str">
        <x:v>transfer_manifest_subject_label_not_page_topic_review</x:v>
      </x:c>
      <x:c r="O44" s="4" t="str">
        <x:v>unresolved_register</x:v>
      </x:c>
      <x:c r="P44" s="14" t="str">
        <x:v>ES-B-002_notas-san-salvador</x:v>
      </x:c>
      <x:c r="Q44" s="4" t="str">
        <x:v>tex</x:v>
      </x:c>
      <x:c r="R44" s="25" t="str">
        <x:v>3954</x:v>
      </x:c>
      <x:c r="S44" s="4" t="str">
        <x:v>76D999DE29022FF0A318E51FCA9FAD2067D4A2E028F7E1EA00CF9040DFB52487</x:v>
      </x:c>
      <x:c r="T44" s="4" t="str">
        <x:v>76D999DE29022FF0A318E51FCA9FAD2067D4A2E028F7E1EA00CF9040DFB52487</x:v>
      </x:c>
      <x:c r="U44" s="4" t="str">
        <x:v>source_file_is_canonical_search_text</x:v>
      </x:c>
      <x:c r="V44" s="14" t="str"/>
      <x:c r="W44" s="14" t="str">
        <x:v>local_or_non_http_locator_omitted</x:v>
      </x:c>
      <x:c r="X44" s="4" t="str">
        <x:v>recovered_transfer_20260706</x:v>
      </x:c>
      <x:c r="Y44" s="14" t="str">
        <x:v>spanish-repo-tex-body-presence; source-witness-candidate; license-gap-no-clearance; not-promoted</x:v>
      </x:c>
      <x:c r="Z44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44" s="14" t="str">
        <x:v>unresolved_no_explicit_grant</x:v>
      </x:c>
      <x:c r="AB44" s="4" t="str">
        <x:v>match</x:v>
      </x:c>
      <x:c r="AC44" s="14" t="str">
        <x:v>not_term_sense_reviewed</x:v>
      </x:c>
      <x:c r="AD44" s="4" t="str">
        <x:v>true</x:v>
      </x:c>
      <x:c r="AE44" s="4" t="str">
        <x:v>false</x:v>
      </x:c>
      <x:c r="AF44" s="4" t="str">
        <x:v>false</x:v>
      </x:c>
      <x:c r="AG44" s="14" t="str">
        <x:v>primary_unique</x:v>
      </x:c>
      <x:c r="AH44" s="25" t="str">
        <x:v>false</x:v>
      </x:c>
      <x:c r="AI44" s="4" t="str">
        <x:v>false</x:v>
      </x:c>
      <x:c r="AJ44" s="4" t="str">
        <x:v>preserved_noncounting_source_or_alias</x:v>
      </x:c>
      <x:c r="AK44" s="4" t="str">
        <x:v>false</x:v>
      </x:c>
      <x:c r="AL44" s="4" t="str">
        <x:v>false</x:v>
      </x:c>
      <x:c r="AM44" s="14" t="str"/>
      <x:c r="AN44" s="14" t="str">
        <x:v>not_declared</x:v>
      </x:c>
      <x:c r="AO44" s="4" t="str">
        <x:v>false</x:v>
      </x:c>
      <x:c r="AP44" s="14" t="str"/>
      <x:c r="AQ44" s="4" t="str"/>
    </x:row>
    <x:row r="45" ht="44" customHeight="1">
      <x:c r="A45" s="14" t="str">
        <x:v>TRANSFER-0051</x:v>
      </x:c>
      <x:c r="B45" s="14" t="str">
        <x:v>TRANSFER-ES-B-002_notas-san-salvador-outputs/source_canon_repo_text_probe/ES-B-002_notas-san-salvador/bernoulli/folletos/polinomios-de-bernoulli.tex</x:v>
      </x:c>
      <x:c r="C45" s="4" t="str">
        <x:v>es</x:v>
      </x:c>
      <x:c r="D45" s="4" t="str">
        <x:v>es</x:v>
      </x:c>
      <x:c r="E45" s="14" t="str">
        <x:v>standard Spanish</x:v>
      </x:c>
      <x:c r="F45" s="4" t="str">
        <x:v>Spain and Americas</x:v>
      </x:c>
      <x:c r="G45" s="4" t="str">
        <x:v>Latn</x:v>
      </x:c>
      <x:c r="H45" s="4" t="str"/>
      <x:c r="I45" s="4" t="str"/>
      <x:c r="J45" s="4" t="str"/>
      <x:c r="K45" s="17" t="str"/>
      <x:c r="L45" s="4" t="str">
        <x:v>mathematics_mixed</x:v>
      </x:c>
      <x:c r="M45" s="4" t="str">
        <x:v>mathematics_mixed</x:v>
      </x:c>
      <x:c r="N45" s="14" t="str">
        <x:v>transfer_manifest_subject_label_not_page_topic_review</x:v>
      </x:c>
      <x:c r="O45" s="4" t="str">
        <x:v>unresolved_register</x:v>
      </x:c>
      <x:c r="P45" s="14" t="str">
        <x:v>ES-B-002_notas-san-salvador</x:v>
      </x:c>
      <x:c r="Q45" s="4" t="str">
        <x:v>tex</x:v>
      </x:c>
      <x:c r="R45" s="25" t="str">
        <x:v>3943</x:v>
      </x:c>
      <x:c r="S45" s="4" t="str">
        <x:v>F219E572EF8F50D018D21CE3B8C0DFDF949988483A4E19C8719246D58B833A9C</x:v>
      </x:c>
      <x:c r="T45" s="4" t="str">
        <x:v>F219E572EF8F50D018D21CE3B8C0DFDF949988483A4E19C8719246D58B833A9C</x:v>
      </x:c>
      <x:c r="U45" s="4" t="str">
        <x:v>source_file_is_canonical_search_text</x:v>
      </x:c>
      <x:c r="V45" s="14" t="str"/>
      <x:c r="W45" s="14" t="str">
        <x:v>local_or_non_http_locator_omitted</x:v>
      </x:c>
      <x:c r="X45" s="4" t="str">
        <x:v>recovered_transfer_20260706</x:v>
      </x:c>
      <x:c r="Y45" s="14" t="str">
        <x:v>spanish-repo-tex-body-presence; source-witness-candidate; license-gap-no-clearance; not-promoted</x:v>
      </x:c>
      <x:c r="Z45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45" s="14" t="str">
        <x:v>unresolved_no_explicit_grant</x:v>
      </x:c>
      <x:c r="AB45" s="4" t="str">
        <x:v>match</x:v>
      </x:c>
      <x:c r="AC45" s="14" t="str">
        <x:v>not_term_sense_reviewed</x:v>
      </x:c>
      <x:c r="AD45" s="4" t="str">
        <x:v>true</x:v>
      </x:c>
      <x:c r="AE45" s="4" t="str">
        <x:v>false</x:v>
      </x:c>
      <x:c r="AF45" s="4" t="str">
        <x:v>false</x:v>
      </x:c>
      <x:c r="AG45" s="14" t="str">
        <x:v>primary_unique</x:v>
      </x:c>
      <x:c r="AH45" s="25" t="str">
        <x:v>false</x:v>
      </x:c>
      <x:c r="AI45" s="4" t="str">
        <x:v>false</x:v>
      </x:c>
      <x:c r="AJ45" s="4" t="str">
        <x:v>preserved_noncounting_source_or_alias</x:v>
      </x:c>
      <x:c r="AK45" s="4" t="str">
        <x:v>false</x:v>
      </x:c>
      <x:c r="AL45" s="4" t="str">
        <x:v>false</x:v>
      </x:c>
      <x:c r="AM45" s="14" t="str"/>
      <x:c r="AN45" s="14" t="str">
        <x:v>not_declared</x:v>
      </x:c>
      <x:c r="AO45" s="4" t="str">
        <x:v>false</x:v>
      </x:c>
      <x:c r="AP45" s="14" t="str"/>
      <x:c r="AQ45" s="4" t="str"/>
    </x:row>
    <x:row r="46" ht="44" customHeight="1">
      <x:c r="A46" s="14" t="str">
        <x:v>TRANSFER-0052</x:v>
      </x:c>
      <x:c r="B46" s="14" t="str">
        <x:v>TRANSFER-ES-B-002_notas-san-salvador-outputs/source_canon_repo_text_probe/ES-B-002_notas-san-salvador/bernoulli/folletos/stirling.tex</x:v>
      </x:c>
      <x:c r="C46" s="4" t="str">
        <x:v>es</x:v>
      </x:c>
      <x:c r="D46" s="4" t="str">
        <x:v>es</x:v>
      </x:c>
      <x:c r="E46" s="14" t="str">
        <x:v>standard Spanish</x:v>
      </x:c>
      <x:c r="F46" s="4" t="str">
        <x:v>Spain and Americas</x:v>
      </x:c>
      <x:c r="G46" s="4" t="str">
        <x:v>Latn</x:v>
      </x:c>
      <x:c r="H46" s="4" t="str"/>
      <x:c r="I46" s="4" t="str"/>
      <x:c r="J46" s="4" t="str"/>
      <x:c r="K46" s="17" t="str"/>
      <x:c r="L46" s="4" t="str">
        <x:v>mathematics_mixed</x:v>
      </x:c>
      <x:c r="M46" s="4" t="str">
        <x:v>mathematics_mixed</x:v>
      </x:c>
      <x:c r="N46" s="14" t="str">
        <x:v>transfer_manifest_subject_label_not_page_topic_review</x:v>
      </x:c>
      <x:c r="O46" s="4" t="str">
        <x:v>unresolved_register</x:v>
      </x:c>
      <x:c r="P46" s="14" t="str">
        <x:v>ES-B-002_notas-san-salvador</x:v>
      </x:c>
      <x:c r="Q46" s="4" t="str">
        <x:v>tex</x:v>
      </x:c>
      <x:c r="R46" s="25" t="str">
        <x:v>4157</x:v>
      </x:c>
      <x:c r="S46" s="4" t="str">
        <x:v>0991011739EB86C119A33911F8C502692240EF553F485919DE415477FE855B8F</x:v>
      </x:c>
      <x:c r="T46" s="4" t="str">
        <x:v>0991011739EB86C119A33911F8C502692240EF553F485919DE415477FE855B8F</x:v>
      </x:c>
      <x:c r="U46" s="4" t="str">
        <x:v>source_file_is_canonical_search_text</x:v>
      </x:c>
      <x:c r="V46" s="14" t="str"/>
      <x:c r="W46" s="14" t="str">
        <x:v>local_or_non_http_locator_omitted</x:v>
      </x:c>
      <x:c r="X46" s="4" t="str">
        <x:v>recovered_transfer_20260706</x:v>
      </x:c>
      <x:c r="Y46" s="14" t="str">
        <x:v>spanish-repo-tex-body-presence; source-witness-candidate; license-gap-no-clearance; not-promoted</x:v>
      </x:c>
      <x:c r="Z46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46" s="14" t="str">
        <x:v>unresolved_no_explicit_grant</x:v>
      </x:c>
      <x:c r="AB46" s="4" t="str">
        <x:v>match</x:v>
      </x:c>
      <x:c r="AC46" s="14" t="str">
        <x:v>not_term_sense_reviewed</x:v>
      </x:c>
      <x:c r="AD46" s="4" t="str">
        <x:v>true</x:v>
      </x:c>
      <x:c r="AE46" s="4" t="str">
        <x:v>false</x:v>
      </x:c>
      <x:c r="AF46" s="4" t="str">
        <x:v>false</x:v>
      </x:c>
      <x:c r="AG46" s="14" t="str">
        <x:v>primary_unique</x:v>
      </x:c>
      <x:c r="AH46" s="25" t="str">
        <x:v>false</x:v>
      </x:c>
      <x:c r="AI46" s="4" t="str">
        <x:v>false</x:v>
      </x:c>
      <x:c r="AJ46" s="4" t="str">
        <x:v>preserved_noncounting_source_or_alias</x:v>
      </x:c>
      <x:c r="AK46" s="4" t="str">
        <x:v>false</x:v>
      </x:c>
      <x:c r="AL46" s="4" t="str">
        <x:v>false</x:v>
      </x:c>
      <x:c r="AM46" s="14" t="str"/>
      <x:c r="AN46" s="14" t="str">
        <x:v>not_declared</x:v>
      </x:c>
      <x:c r="AO46" s="4" t="str">
        <x:v>false</x:v>
      </x:c>
      <x:c r="AP46" s="14" t="str"/>
      <x:c r="AQ46" s="4" t="str"/>
    </x:row>
    <x:row r="47" ht="44" customHeight="1">
      <x:c r="A47" s="14" t="str">
        <x:v>TRANSFER-0053</x:v>
      </x:c>
      <x:c r="B47" s="14" t="str">
        <x:v>TRANSFER-ES-B-002_notas-san-salvador-outputs/source_canon_repo_text_probe/ES-B-002_notas-san-salvador/bernoulli/notas-diarias/2017-02-24.tex</x:v>
      </x:c>
      <x:c r="C47" s="4" t="str">
        <x:v>es</x:v>
      </x:c>
      <x:c r="D47" s="4" t="str">
        <x:v>es</x:v>
      </x:c>
      <x:c r="E47" s="14" t="str">
        <x:v>standard Spanish</x:v>
      </x:c>
      <x:c r="F47" s="4" t="str">
        <x:v>Spain and Americas</x:v>
      </x:c>
      <x:c r="G47" s="4" t="str">
        <x:v>Latn</x:v>
      </x:c>
      <x:c r="H47" s="4" t="str"/>
      <x:c r="I47" s="4" t="str"/>
      <x:c r="J47" s="4" t="str"/>
      <x:c r="K47" s="17" t="str"/>
      <x:c r="L47" s="4" t="str">
        <x:v>mathematics_mixed</x:v>
      </x:c>
      <x:c r="M47" s="4" t="str">
        <x:v>mathematics_mixed</x:v>
      </x:c>
      <x:c r="N47" s="14" t="str">
        <x:v>transfer_manifest_subject_label_not_page_topic_review</x:v>
      </x:c>
      <x:c r="O47" s="4" t="str">
        <x:v>unresolved_register</x:v>
      </x:c>
      <x:c r="P47" s="14" t="str">
        <x:v>ES-B-002_notas-san-salvador</x:v>
      </x:c>
      <x:c r="Q47" s="4" t="str">
        <x:v>tex</x:v>
      </x:c>
      <x:c r="R47" s="25" t="str">
        <x:v>11815</x:v>
      </x:c>
      <x:c r="S47" s="4" t="str">
        <x:v>EAF400A82AD69B8B6F79E224943CE5ECCF8C2EF3B1358460A5D15EEB33348C01</x:v>
      </x:c>
      <x:c r="T47" s="4" t="str">
        <x:v>EAF400A82AD69B8B6F79E224943CE5ECCF8C2EF3B1358460A5D15EEB33348C01</x:v>
      </x:c>
      <x:c r="U47" s="4" t="str">
        <x:v>source_file_is_canonical_search_text</x:v>
      </x:c>
      <x:c r="V47" s="14" t="str"/>
      <x:c r="W47" s="14" t="str">
        <x:v>local_or_non_http_locator_omitted</x:v>
      </x:c>
      <x:c r="X47" s="4" t="str">
        <x:v>recovered_transfer_20260706</x:v>
      </x:c>
      <x:c r="Y47" s="14" t="str">
        <x:v>spanish-repo-tex-body-presence; source-witness-candidate; license-gap-no-clearance; not-promoted</x:v>
      </x:c>
      <x:c r="Z47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47" s="14" t="str">
        <x:v>unresolved_no_explicit_grant</x:v>
      </x:c>
      <x:c r="AB47" s="4" t="str">
        <x:v>match</x:v>
      </x:c>
      <x:c r="AC47" s="14" t="str">
        <x:v>not_term_sense_reviewed</x:v>
      </x:c>
      <x:c r="AD47" s="4" t="str">
        <x:v>true</x:v>
      </x:c>
      <x:c r="AE47" s="4" t="str">
        <x:v>false</x:v>
      </x:c>
      <x:c r="AF47" s="4" t="str">
        <x:v>false</x:v>
      </x:c>
      <x:c r="AG47" s="14" t="str">
        <x:v>primary_unique</x:v>
      </x:c>
      <x:c r="AH47" s="25" t="str">
        <x:v>false</x:v>
      </x:c>
      <x:c r="AI47" s="4" t="str">
        <x:v>false</x:v>
      </x:c>
      <x:c r="AJ47" s="4" t="str">
        <x:v>preserved_noncounting_source_or_alias</x:v>
      </x:c>
      <x:c r="AK47" s="4" t="str">
        <x:v>false</x:v>
      </x:c>
      <x:c r="AL47" s="4" t="str">
        <x:v>false</x:v>
      </x:c>
      <x:c r="AM47" s="14" t="str"/>
      <x:c r="AN47" s="14" t="str">
        <x:v>not_declared</x:v>
      </x:c>
      <x:c r="AO47" s="4" t="str">
        <x:v>false</x:v>
      </x:c>
      <x:c r="AP47" s="14" t="str"/>
      <x:c r="AQ47" s="4" t="str"/>
    </x:row>
    <x:row r="48" ht="44" customHeight="1">
      <x:c r="A48" s="14" t="str">
        <x:v>TRANSFER-0054</x:v>
      </x:c>
      <x:c r="B48" s="14" t="str">
        <x:v>TRANSFER-ES-B-002_notas-san-salvador-outputs/source_canon_repo_text_probe/ES-B-002_notas-san-salvador/bernoulli/notas-diarias/2017-02-27.tex</x:v>
      </x:c>
      <x:c r="C48" s="4" t="str">
        <x:v>es</x:v>
      </x:c>
      <x:c r="D48" s="4" t="str">
        <x:v>es</x:v>
      </x:c>
      <x:c r="E48" s="14" t="str">
        <x:v>standard Spanish</x:v>
      </x:c>
      <x:c r="F48" s="4" t="str">
        <x:v>Spain and Americas</x:v>
      </x:c>
      <x:c r="G48" s="4" t="str">
        <x:v>Latn</x:v>
      </x:c>
      <x:c r="H48" s="4" t="str"/>
      <x:c r="I48" s="4" t="str"/>
      <x:c r="J48" s="4" t="str"/>
      <x:c r="K48" s="17" t="str"/>
      <x:c r="L48" s="4" t="str">
        <x:v>mathematics_mixed</x:v>
      </x:c>
      <x:c r="M48" s="4" t="str">
        <x:v>mathematics_mixed</x:v>
      </x:c>
      <x:c r="N48" s="14" t="str">
        <x:v>transfer_manifest_subject_label_not_page_topic_review</x:v>
      </x:c>
      <x:c r="O48" s="4" t="str">
        <x:v>unresolved_register</x:v>
      </x:c>
      <x:c r="P48" s="14" t="str">
        <x:v>ES-B-002_notas-san-salvador</x:v>
      </x:c>
      <x:c r="Q48" s="4" t="str">
        <x:v>tex</x:v>
      </x:c>
      <x:c r="R48" s="25" t="str">
        <x:v>21421</x:v>
      </x:c>
      <x:c r="S48" s="4" t="str">
        <x:v>0FF152E17C3417DB452449989D1D249C8695C10059E5FCA25341C3337B74F97F</x:v>
      </x:c>
      <x:c r="T48" s="4" t="str">
        <x:v>0FF152E17C3417DB452449989D1D249C8695C10059E5FCA25341C3337B74F97F</x:v>
      </x:c>
      <x:c r="U48" s="4" t="str">
        <x:v>source_file_is_canonical_search_text</x:v>
      </x:c>
      <x:c r="V48" s="14" t="str"/>
      <x:c r="W48" s="14" t="str">
        <x:v>local_or_non_http_locator_omitted</x:v>
      </x:c>
      <x:c r="X48" s="4" t="str">
        <x:v>recovered_transfer_20260706</x:v>
      </x:c>
      <x:c r="Y48" s="14" t="str">
        <x:v>spanish-repo-tex-body-presence; source-witness-candidate; license-gap-no-clearance; not-promoted</x:v>
      </x:c>
      <x:c r="Z48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48" s="14" t="str">
        <x:v>unresolved_no_explicit_grant</x:v>
      </x:c>
      <x:c r="AB48" s="4" t="str">
        <x:v>match</x:v>
      </x:c>
      <x:c r="AC48" s="14" t="str">
        <x:v>not_term_sense_reviewed</x:v>
      </x:c>
      <x:c r="AD48" s="4" t="str">
        <x:v>true</x:v>
      </x:c>
      <x:c r="AE48" s="4" t="str">
        <x:v>false</x:v>
      </x:c>
      <x:c r="AF48" s="4" t="str">
        <x:v>false</x:v>
      </x:c>
      <x:c r="AG48" s="14" t="str">
        <x:v>primary_unique</x:v>
      </x:c>
      <x:c r="AH48" s="25" t="str">
        <x:v>false</x:v>
      </x:c>
      <x:c r="AI48" s="4" t="str">
        <x:v>false</x:v>
      </x:c>
      <x:c r="AJ48" s="4" t="str">
        <x:v>preserved_noncounting_source_or_alias</x:v>
      </x:c>
      <x:c r="AK48" s="4" t="str">
        <x:v>false</x:v>
      </x:c>
      <x:c r="AL48" s="4" t="str">
        <x:v>false</x:v>
      </x:c>
      <x:c r="AM48" s="14" t="str"/>
      <x:c r="AN48" s="14" t="str">
        <x:v>not_declared</x:v>
      </x:c>
      <x:c r="AO48" s="4" t="str">
        <x:v>false</x:v>
      </x:c>
      <x:c r="AP48" s="14" t="str"/>
      <x:c r="AQ48" s="4" t="str"/>
    </x:row>
    <x:row r="49" ht="44" customHeight="1">
      <x:c r="A49" s="14" t="str">
        <x:v>TRANSFER-0055</x:v>
      </x:c>
      <x:c r="B49" s="14" t="str">
        <x:v>TRANSFER-ES-B-002_notas-san-salvador-outputs/source_canon_repo_text_probe/ES-B-002_notas-san-salvador/bernoulli/notas-diarias/2017-02-28.tex</x:v>
      </x:c>
      <x:c r="C49" s="4" t="str">
        <x:v>es</x:v>
      </x:c>
      <x:c r="D49" s="4" t="str">
        <x:v>es</x:v>
      </x:c>
      <x:c r="E49" s="14" t="str">
        <x:v>standard Spanish</x:v>
      </x:c>
      <x:c r="F49" s="4" t="str">
        <x:v>Spain and Americas</x:v>
      </x:c>
      <x:c r="G49" s="4" t="str">
        <x:v>Latn</x:v>
      </x:c>
      <x:c r="H49" s="4" t="str"/>
      <x:c r="I49" s="4" t="str"/>
      <x:c r="J49" s="4" t="str"/>
      <x:c r="K49" s="17" t="str"/>
      <x:c r="L49" s="4" t="str">
        <x:v>mathematics_mixed</x:v>
      </x:c>
      <x:c r="M49" s="4" t="str">
        <x:v>mathematics_mixed</x:v>
      </x:c>
      <x:c r="N49" s="14" t="str">
        <x:v>transfer_manifest_subject_label_not_page_topic_review</x:v>
      </x:c>
      <x:c r="O49" s="4" t="str">
        <x:v>unresolved_register</x:v>
      </x:c>
      <x:c r="P49" s="14" t="str">
        <x:v>ES-B-002_notas-san-salvador</x:v>
      </x:c>
      <x:c r="Q49" s="4" t="str">
        <x:v>tex</x:v>
      </x:c>
      <x:c r="R49" s="25" t="str">
        <x:v>15559</x:v>
      </x:c>
      <x:c r="S49" s="4" t="str">
        <x:v>CAED8FB5CEC4171947B72F2BAFB153B4DBBEE32A1E0E809E76ECDB613982D6F6</x:v>
      </x:c>
      <x:c r="T49" s="4" t="str">
        <x:v>CAED8FB5CEC4171947B72F2BAFB153B4DBBEE32A1E0E809E76ECDB613982D6F6</x:v>
      </x:c>
      <x:c r="U49" s="4" t="str">
        <x:v>source_file_is_canonical_search_text</x:v>
      </x:c>
      <x:c r="V49" s="14" t="str"/>
      <x:c r="W49" s="14" t="str">
        <x:v>local_or_non_http_locator_omitted</x:v>
      </x:c>
      <x:c r="X49" s="4" t="str">
        <x:v>recovered_transfer_20260706</x:v>
      </x:c>
      <x:c r="Y49" s="14" t="str">
        <x:v>spanish-repo-tex-body-presence; source-witness-candidate; license-gap-no-clearance; not-promoted</x:v>
      </x:c>
      <x:c r="Z49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49" s="14" t="str">
        <x:v>unresolved_no_explicit_grant</x:v>
      </x:c>
      <x:c r="AB49" s="4" t="str">
        <x:v>match</x:v>
      </x:c>
      <x:c r="AC49" s="14" t="str">
        <x:v>not_term_sense_reviewed</x:v>
      </x:c>
      <x:c r="AD49" s="4" t="str">
        <x:v>true</x:v>
      </x:c>
      <x:c r="AE49" s="4" t="str">
        <x:v>false</x:v>
      </x:c>
      <x:c r="AF49" s="4" t="str">
        <x:v>false</x:v>
      </x:c>
      <x:c r="AG49" s="14" t="str">
        <x:v>primary_unique</x:v>
      </x:c>
      <x:c r="AH49" s="25" t="str">
        <x:v>false</x:v>
      </x:c>
      <x:c r="AI49" s="4" t="str">
        <x:v>false</x:v>
      </x:c>
      <x:c r="AJ49" s="4" t="str">
        <x:v>preserved_noncounting_source_or_alias</x:v>
      </x:c>
      <x:c r="AK49" s="4" t="str">
        <x:v>false</x:v>
      </x:c>
      <x:c r="AL49" s="4" t="str">
        <x:v>false</x:v>
      </x:c>
      <x:c r="AM49" s="14" t="str"/>
      <x:c r="AN49" s="14" t="str">
        <x:v>not_declared</x:v>
      </x:c>
      <x:c r="AO49" s="4" t="str">
        <x:v>false</x:v>
      </x:c>
      <x:c r="AP49" s="14" t="str"/>
      <x:c r="AQ49" s="4" t="str"/>
    </x:row>
    <x:row r="50" ht="44" customHeight="1">
      <x:c r="A50" s="14" t="str">
        <x:v>TRANSFER-0056</x:v>
      </x:c>
      <x:c r="B50" s="14" t="str">
        <x:v>TRANSFER-ES-B-002_notas-san-salvador-outputs/source_canon_repo_text_probe/ES-B-002_notas-san-salvador/bernoulli/notas-diarias/2017-03-01.tex</x:v>
      </x:c>
      <x:c r="C50" s="4" t="str">
        <x:v>es</x:v>
      </x:c>
      <x:c r="D50" s="4" t="str">
        <x:v>es</x:v>
      </x:c>
      <x:c r="E50" s="14" t="str">
        <x:v>standard Spanish</x:v>
      </x:c>
      <x:c r="F50" s="4" t="str">
        <x:v>Spain and Americas</x:v>
      </x:c>
      <x:c r="G50" s="4" t="str">
        <x:v>Latn</x:v>
      </x:c>
      <x:c r="H50" s="4" t="str"/>
      <x:c r="I50" s="4" t="str"/>
      <x:c r="J50" s="4" t="str"/>
      <x:c r="K50" s="17" t="str"/>
      <x:c r="L50" s="4" t="str">
        <x:v>mathematics_mixed</x:v>
      </x:c>
      <x:c r="M50" s="4" t="str">
        <x:v>mathematics_mixed</x:v>
      </x:c>
      <x:c r="N50" s="14" t="str">
        <x:v>transfer_manifest_subject_label_not_page_topic_review</x:v>
      </x:c>
      <x:c r="O50" s="4" t="str">
        <x:v>unresolved_register</x:v>
      </x:c>
      <x:c r="P50" s="14" t="str">
        <x:v>ES-B-002_notas-san-salvador</x:v>
      </x:c>
      <x:c r="Q50" s="4" t="str">
        <x:v>tex</x:v>
      </x:c>
      <x:c r="R50" s="25" t="str">
        <x:v>17782</x:v>
      </x:c>
      <x:c r="S50" s="4" t="str">
        <x:v>B73581D97C4831527ED458C61EB3CCAAFA66464AF094BC4CE1DA053E5916F0D8</x:v>
      </x:c>
      <x:c r="T50" s="4" t="str">
        <x:v>B73581D97C4831527ED458C61EB3CCAAFA66464AF094BC4CE1DA053E5916F0D8</x:v>
      </x:c>
      <x:c r="U50" s="4" t="str">
        <x:v>source_file_is_canonical_search_text</x:v>
      </x:c>
      <x:c r="V50" s="14" t="str"/>
      <x:c r="W50" s="14" t="str">
        <x:v>local_or_non_http_locator_omitted</x:v>
      </x:c>
      <x:c r="X50" s="4" t="str">
        <x:v>recovered_transfer_20260706</x:v>
      </x:c>
      <x:c r="Y50" s="14" t="str">
        <x:v>spanish-repo-tex-body-presence; source-witness-candidate; license-gap-no-clearance; not-promoted</x:v>
      </x:c>
      <x:c r="Z50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50" s="14" t="str">
        <x:v>unresolved_no_explicit_grant</x:v>
      </x:c>
      <x:c r="AB50" s="4" t="str">
        <x:v>match</x:v>
      </x:c>
      <x:c r="AC50" s="14" t="str">
        <x:v>not_term_sense_reviewed</x:v>
      </x:c>
      <x:c r="AD50" s="4" t="str">
        <x:v>true</x:v>
      </x:c>
      <x:c r="AE50" s="4" t="str">
        <x:v>false</x:v>
      </x:c>
      <x:c r="AF50" s="4" t="str">
        <x:v>false</x:v>
      </x:c>
      <x:c r="AG50" s="14" t="str">
        <x:v>primary_unique</x:v>
      </x:c>
      <x:c r="AH50" s="25" t="str">
        <x:v>false</x:v>
      </x:c>
      <x:c r="AI50" s="4" t="str">
        <x:v>false</x:v>
      </x:c>
      <x:c r="AJ50" s="4" t="str">
        <x:v>preserved_noncounting_source_or_alias</x:v>
      </x:c>
      <x:c r="AK50" s="4" t="str">
        <x:v>false</x:v>
      </x:c>
      <x:c r="AL50" s="4" t="str">
        <x:v>false</x:v>
      </x:c>
      <x:c r="AM50" s="14" t="str"/>
      <x:c r="AN50" s="14" t="str">
        <x:v>not_declared</x:v>
      </x:c>
      <x:c r="AO50" s="4" t="str">
        <x:v>false</x:v>
      </x:c>
      <x:c r="AP50" s="14" t="str"/>
      <x:c r="AQ50" s="4" t="str"/>
    </x:row>
    <x:row r="51" ht="44" customHeight="1">
      <x:c r="A51" s="14" t="str">
        <x:v>TRANSFER-0057</x:v>
      </x:c>
      <x:c r="B51" s="14" t="str">
        <x:v>TRANSFER-ES-B-002_notas-san-salvador-outputs/source_canon_repo_text_probe/ES-B-002_notas-san-salvador/bernoulli/notas-diarias/2017-03-02.tex</x:v>
      </x:c>
      <x:c r="C51" s="4" t="str">
        <x:v>es</x:v>
      </x:c>
      <x:c r="D51" s="4" t="str">
        <x:v>es</x:v>
      </x:c>
      <x:c r="E51" s="14" t="str">
        <x:v>standard Spanish</x:v>
      </x:c>
      <x:c r="F51" s="4" t="str">
        <x:v>Spain and Americas</x:v>
      </x:c>
      <x:c r="G51" s="4" t="str">
        <x:v>Latn</x:v>
      </x:c>
      <x:c r="H51" s="4" t="str"/>
      <x:c r="I51" s="4" t="str"/>
      <x:c r="J51" s="4" t="str"/>
      <x:c r="K51" s="17" t="str"/>
      <x:c r="L51" s="4" t="str">
        <x:v>mathematics_mixed</x:v>
      </x:c>
      <x:c r="M51" s="4" t="str">
        <x:v>mathematics_mixed</x:v>
      </x:c>
      <x:c r="N51" s="14" t="str">
        <x:v>transfer_manifest_subject_label_not_page_topic_review</x:v>
      </x:c>
      <x:c r="O51" s="4" t="str">
        <x:v>unresolved_register</x:v>
      </x:c>
      <x:c r="P51" s="14" t="str">
        <x:v>ES-B-002_notas-san-salvador</x:v>
      </x:c>
      <x:c r="Q51" s="4" t="str">
        <x:v>tex</x:v>
      </x:c>
      <x:c r="R51" s="25" t="str">
        <x:v>14768</x:v>
      </x:c>
      <x:c r="S51" s="4" t="str">
        <x:v>DFC38642B401A971224EBB2D18B1A98214579459B3593E2F4CA3045D9DDB38AE</x:v>
      </x:c>
      <x:c r="T51" s="4" t="str">
        <x:v>DFC38642B401A971224EBB2D18B1A98214579459B3593E2F4CA3045D9DDB38AE</x:v>
      </x:c>
      <x:c r="U51" s="4" t="str">
        <x:v>source_file_is_canonical_search_text</x:v>
      </x:c>
      <x:c r="V51" s="14" t="str"/>
      <x:c r="W51" s="14" t="str">
        <x:v>local_or_non_http_locator_omitted</x:v>
      </x:c>
      <x:c r="X51" s="4" t="str">
        <x:v>recovered_transfer_20260706</x:v>
      </x:c>
      <x:c r="Y51" s="14" t="str">
        <x:v>spanish-repo-tex-body-presence; source-witness-candidate; license-gap-no-clearance; not-promoted</x:v>
      </x:c>
      <x:c r="Z51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51" s="14" t="str">
        <x:v>unresolved_no_explicit_grant</x:v>
      </x:c>
      <x:c r="AB51" s="4" t="str">
        <x:v>match</x:v>
      </x:c>
      <x:c r="AC51" s="14" t="str">
        <x:v>not_term_sense_reviewed</x:v>
      </x:c>
      <x:c r="AD51" s="4" t="str">
        <x:v>true</x:v>
      </x:c>
      <x:c r="AE51" s="4" t="str">
        <x:v>false</x:v>
      </x:c>
      <x:c r="AF51" s="4" t="str">
        <x:v>false</x:v>
      </x:c>
      <x:c r="AG51" s="14" t="str">
        <x:v>primary_unique</x:v>
      </x:c>
      <x:c r="AH51" s="25" t="str">
        <x:v>false</x:v>
      </x:c>
      <x:c r="AI51" s="4" t="str">
        <x:v>false</x:v>
      </x:c>
      <x:c r="AJ51" s="4" t="str">
        <x:v>preserved_noncounting_source_or_alias</x:v>
      </x:c>
      <x:c r="AK51" s="4" t="str">
        <x:v>false</x:v>
      </x:c>
      <x:c r="AL51" s="4" t="str">
        <x:v>false</x:v>
      </x:c>
      <x:c r="AM51" s="14" t="str"/>
      <x:c r="AN51" s="14" t="str">
        <x:v>not_declared</x:v>
      </x:c>
      <x:c r="AO51" s="4" t="str">
        <x:v>false</x:v>
      </x:c>
      <x:c r="AP51" s="14" t="str"/>
      <x:c r="AQ51" s="4" t="str"/>
    </x:row>
    <x:row r="52" ht="44" customHeight="1">
      <x:c r="A52" s="14" t="str">
        <x:v>TRANSFER-0058</x:v>
      </x:c>
      <x:c r="B52" s="14" t="str">
        <x:v>TRANSFER-ES-B-002_notas-san-salvador-outputs/source_canon_repo_text_probe/ES-B-002_notas-san-salvador/bernoulli/notas-diarias/2017-03-07.tex</x:v>
      </x:c>
      <x:c r="C52" s="4" t="str">
        <x:v>es</x:v>
      </x:c>
      <x:c r="D52" s="4" t="str">
        <x:v>es</x:v>
      </x:c>
      <x:c r="E52" s="14" t="str">
        <x:v>standard Spanish</x:v>
      </x:c>
      <x:c r="F52" s="4" t="str">
        <x:v>Spain and Americas</x:v>
      </x:c>
      <x:c r="G52" s="4" t="str">
        <x:v>Latn</x:v>
      </x:c>
      <x:c r="H52" s="4" t="str"/>
      <x:c r="I52" s="4" t="str"/>
      <x:c r="J52" s="4" t="str"/>
      <x:c r="K52" s="17" t="str"/>
      <x:c r="L52" s="4" t="str">
        <x:v>mathematics_mixed</x:v>
      </x:c>
      <x:c r="M52" s="4" t="str">
        <x:v>mathematics_mixed</x:v>
      </x:c>
      <x:c r="N52" s="14" t="str">
        <x:v>transfer_manifest_subject_label_not_page_topic_review</x:v>
      </x:c>
      <x:c r="O52" s="4" t="str">
        <x:v>unresolved_register</x:v>
      </x:c>
      <x:c r="P52" s="14" t="str">
        <x:v>ES-B-002_notas-san-salvador</x:v>
      </x:c>
      <x:c r="Q52" s="4" t="str">
        <x:v>tex</x:v>
      </x:c>
      <x:c r="R52" s="25" t="str">
        <x:v>22232</x:v>
      </x:c>
      <x:c r="S52" s="4" t="str">
        <x:v>6FDC79209644644CB59B51E20D7899ED62B8DA8F347E091DBBED7A5C0E7C1EE0</x:v>
      </x:c>
      <x:c r="T52" s="4" t="str">
        <x:v>6FDC79209644644CB59B51E20D7899ED62B8DA8F347E091DBBED7A5C0E7C1EE0</x:v>
      </x:c>
      <x:c r="U52" s="4" t="str">
        <x:v>source_file_is_canonical_search_text</x:v>
      </x:c>
      <x:c r="V52" s="14" t="str"/>
      <x:c r="W52" s="14" t="str">
        <x:v>local_or_non_http_locator_omitted</x:v>
      </x:c>
      <x:c r="X52" s="4" t="str">
        <x:v>recovered_transfer_20260706</x:v>
      </x:c>
      <x:c r="Y52" s="14" t="str">
        <x:v>spanish-repo-tex-body-presence; source-witness-candidate; license-gap-no-clearance; not-promoted</x:v>
      </x:c>
      <x:c r="Z52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52" s="14" t="str">
        <x:v>unresolved_no_explicit_grant</x:v>
      </x:c>
      <x:c r="AB52" s="4" t="str">
        <x:v>match</x:v>
      </x:c>
      <x:c r="AC52" s="14" t="str">
        <x:v>not_term_sense_reviewed</x:v>
      </x:c>
      <x:c r="AD52" s="4" t="str">
        <x:v>true</x:v>
      </x:c>
      <x:c r="AE52" s="4" t="str">
        <x:v>false</x:v>
      </x:c>
      <x:c r="AF52" s="4" t="str">
        <x:v>false</x:v>
      </x:c>
      <x:c r="AG52" s="14" t="str">
        <x:v>primary_unique</x:v>
      </x:c>
      <x:c r="AH52" s="25" t="str">
        <x:v>false</x:v>
      </x:c>
      <x:c r="AI52" s="4" t="str">
        <x:v>false</x:v>
      </x:c>
      <x:c r="AJ52" s="4" t="str">
        <x:v>preserved_noncounting_source_or_alias</x:v>
      </x:c>
      <x:c r="AK52" s="4" t="str">
        <x:v>false</x:v>
      </x:c>
      <x:c r="AL52" s="4" t="str">
        <x:v>false</x:v>
      </x:c>
      <x:c r="AM52" s="14" t="str"/>
      <x:c r="AN52" s="14" t="str">
        <x:v>not_declared</x:v>
      </x:c>
      <x:c r="AO52" s="4" t="str">
        <x:v>false</x:v>
      </x:c>
      <x:c r="AP52" s="14" t="str"/>
      <x:c r="AQ52" s="4" t="str"/>
    </x:row>
    <x:row r="53" ht="44" customHeight="1">
      <x:c r="A53" s="14" t="str">
        <x:v>TRANSFER-0059</x:v>
      </x:c>
      <x:c r="B53" s="14" t="str">
        <x:v>TRANSFER-ES-B-002_notas-san-salvador-outputs/source_canon_repo_text_probe/ES-B-002_notas-san-salvador/categorias/categorias.tex</x:v>
      </x:c>
      <x:c r="C53" s="4" t="str">
        <x:v>es</x:v>
      </x:c>
      <x:c r="D53" s="4" t="str">
        <x:v>es</x:v>
      </x:c>
      <x:c r="E53" s="14" t="str">
        <x:v>standard Spanish</x:v>
      </x:c>
      <x:c r="F53" s="4" t="str">
        <x:v>Spain and Americas</x:v>
      </x:c>
      <x:c r="G53" s="4" t="str">
        <x:v>Latn</x:v>
      </x:c>
      <x:c r="H53" s="4" t="str"/>
      <x:c r="I53" s="4" t="str"/>
      <x:c r="J53" s="4" t="str"/>
      <x:c r="K53" s="17" t="str"/>
      <x:c r="L53" s="4" t="str">
        <x:v>mathematics_mixed</x:v>
      </x:c>
      <x:c r="M53" s="4" t="str">
        <x:v>mathematics_mixed</x:v>
      </x:c>
      <x:c r="N53" s="14" t="str">
        <x:v>transfer_manifest_subject_label_not_page_topic_review</x:v>
      </x:c>
      <x:c r="O53" s="4" t="str">
        <x:v>unresolved_register</x:v>
      </x:c>
      <x:c r="P53" s="14" t="str">
        <x:v>ES-B-002_notas-san-salvador</x:v>
      </x:c>
      <x:c r="Q53" s="4" t="str">
        <x:v>tex</x:v>
      </x:c>
      <x:c r="R53" s="25" t="str">
        <x:v>185270</x:v>
      </x:c>
      <x:c r="S53" s="4" t="str">
        <x:v>ED2A7FF89A11B3AC575AC702FF394151E597988E745A064E7E4E0DB14BF65591</x:v>
      </x:c>
      <x:c r="T53" s="4" t="str">
        <x:v>ED2A7FF89A11B3AC575AC702FF394151E597988E745A064E7E4E0DB14BF65591</x:v>
      </x:c>
      <x:c r="U53" s="4" t="str">
        <x:v>source_file_is_canonical_search_text</x:v>
      </x:c>
      <x:c r="V53" s="14" t="str"/>
      <x:c r="W53" s="14" t="str">
        <x:v>local_or_non_http_locator_omitted</x:v>
      </x:c>
      <x:c r="X53" s="4" t="str">
        <x:v>recovered_transfer_20260706</x:v>
      </x:c>
      <x:c r="Y53" s="14" t="str">
        <x:v>spanish-repo-tex-body-presence; source-witness-candidate; license-gap-no-clearance; not-promoted</x:v>
      </x:c>
      <x:c r="Z53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53" s="14" t="str">
        <x:v>unresolved_no_explicit_grant</x:v>
      </x:c>
      <x:c r="AB53" s="4" t="str">
        <x:v>match</x:v>
      </x:c>
      <x:c r="AC53" s="14" t="str">
        <x:v>not_term_sense_reviewed</x:v>
      </x:c>
      <x:c r="AD53" s="4" t="str">
        <x:v>true</x:v>
      </x:c>
      <x:c r="AE53" s="4" t="str">
        <x:v>false</x:v>
      </x:c>
      <x:c r="AF53" s="4" t="str">
        <x:v>false</x:v>
      </x:c>
      <x:c r="AG53" s="14" t="str">
        <x:v>primary_unique</x:v>
      </x:c>
      <x:c r="AH53" s="25" t="str">
        <x:v>false</x:v>
      </x:c>
      <x:c r="AI53" s="4" t="str">
        <x:v>false</x:v>
      </x:c>
      <x:c r="AJ53" s="4" t="str">
        <x:v>preserved_noncounting_source_or_alias</x:v>
      </x:c>
      <x:c r="AK53" s="4" t="str">
        <x:v>false</x:v>
      </x:c>
      <x:c r="AL53" s="4" t="str">
        <x:v>false</x:v>
      </x:c>
      <x:c r="AM53" s="14" t="str"/>
      <x:c r="AN53" s="14" t="str">
        <x:v>not_declared</x:v>
      </x:c>
      <x:c r="AO53" s="4" t="str">
        <x:v>false</x:v>
      </x:c>
      <x:c r="AP53" s="14" t="str"/>
      <x:c r="AQ53" s="4" t="str"/>
    </x:row>
    <x:row r="54" ht="44" customHeight="1">
      <x:c r="A54" s="14" t="str">
        <x:v>TRANSFER-0060</x:v>
      </x:c>
      <x:c r="B54" s="14" t="str">
        <x:v>TRANSFER-ES-B-002_notas-san-salvador-outputs/source_canon_repo_text_probe/ES-B-002_notas-san-salvador/categorias/ejercicios.tex</x:v>
      </x:c>
      <x:c r="C54" s="4" t="str">
        <x:v>es</x:v>
      </x:c>
      <x:c r="D54" s="4" t="str">
        <x:v>es</x:v>
      </x:c>
      <x:c r="E54" s="14" t="str">
        <x:v>standard Spanish</x:v>
      </x:c>
      <x:c r="F54" s="4" t="str">
        <x:v>Spain and Americas</x:v>
      </x:c>
      <x:c r="G54" s="4" t="str">
        <x:v>Latn</x:v>
      </x:c>
      <x:c r="H54" s="4" t="str"/>
      <x:c r="I54" s="4" t="str"/>
      <x:c r="J54" s="4" t="str"/>
      <x:c r="K54" s="17" t="str"/>
      <x:c r="L54" s="4" t="str">
        <x:v>mathematics_mixed</x:v>
      </x:c>
      <x:c r="M54" s="4" t="str">
        <x:v>mathematics_mixed</x:v>
      </x:c>
      <x:c r="N54" s="14" t="str">
        <x:v>transfer_manifest_subject_label_not_page_topic_review</x:v>
      </x:c>
      <x:c r="O54" s="4" t="str">
        <x:v>unresolved_register</x:v>
      </x:c>
      <x:c r="P54" s="14" t="str">
        <x:v>ES-B-002_notas-san-salvador</x:v>
      </x:c>
      <x:c r="Q54" s="4" t="str">
        <x:v>tex</x:v>
      </x:c>
      <x:c r="R54" s="25" t="str">
        <x:v>13805</x:v>
      </x:c>
      <x:c r="S54" s="4" t="str">
        <x:v>C1EE45038789B27D2011AC25FB4E882A95F37584959E1256E951FEE3890AEC2C</x:v>
      </x:c>
      <x:c r="T54" s="4" t="str">
        <x:v>C1EE45038789B27D2011AC25FB4E882A95F37584959E1256E951FEE3890AEC2C</x:v>
      </x:c>
      <x:c r="U54" s="4" t="str">
        <x:v>source_file_is_canonical_search_text</x:v>
      </x:c>
      <x:c r="V54" s="14" t="str"/>
      <x:c r="W54" s="14" t="str">
        <x:v>local_or_non_http_locator_omitted</x:v>
      </x:c>
      <x:c r="X54" s="4" t="str">
        <x:v>recovered_transfer_20260706</x:v>
      </x:c>
      <x:c r="Y54" s="14" t="str">
        <x:v>spanish-repo-tex-body-presence; source-witness-candidate; license-gap-no-clearance; not-promoted</x:v>
      </x:c>
      <x:c r="Z54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54" s="14" t="str">
        <x:v>unresolved_no_explicit_grant</x:v>
      </x:c>
      <x:c r="AB54" s="4" t="str">
        <x:v>match</x:v>
      </x:c>
      <x:c r="AC54" s="14" t="str">
        <x:v>not_term_sense_reviewed</x:v>
      </x:c>
      <x:c r="AD54" s="4" t="str">
        <x:v>true</x:v>
      </x:c>
      <x:c r="AE54" s="4" t="str">
        <x:v>false</x:v>
      </x:c>
      <x:c r="AF54" s="4" t="str">
        <x:v>false</x:v>
      </x:c>
      <x:c r="AG54" s="14" t="str">
        <x:v>primary_unique</x:v>
      </x:c>
      <x:c r="AH54" s="25" t="str">
        <x:v>false</x:v>
      </x:c>
      <x:c r="AI54" s="4" t="str">
        <x:v>false</x:v>
      </x:c>
      <x:c r="AJ54" s="4" t="str">
        <x:v>preserved_noncounting_source_or_alias</x:v>
      </x:c>
      <x:c r="AK54" s="4" t="str">
        <x:v>false</x:v>
      </x:c>
      <x:c r="AL54" s="4" t="str">
        <x:v>false</x:v>
      </x:c>
      <x:c r="AM54" s="14" t="str"/>
      <x:c r="AN54" s="14" t="str">
        <x:v>not_declared</x:v>
      </x:c>
      <x:c r="AO54" s="4" t="str">
        <x:v>false</x:v>
      </x:c>
      <x:c r="AP54" s="14" t="str"/>
      <x:c r="AQ54" s="4" t="str"/>
    </x:row>
    <x:row r="55" ht="44" customHeight="1">
      <x:c r="A55" s="14" t="str">
        <x:v>TRANSFER-0061</x:v>
      </x:c>
      <x:c r="B55" s="14" t="str">
        <x:v>TRANSFER-ES-B-002_notas-san-salvador-outputs/source_canon_repo_text_probe/ES-B-002_notas-san-salvador/categorias/tarea-categorias.tex</x:v>
      </x:c>
      <x:c r="C55" s="4" t="str">
        <x:v>es</x:v>
      </x:c>
      <x:c r="D55" s="4" t="str">
        <x:v>es</x:v>
      </x:c>
      <x:c r="E55" s="14" t="str">
        <x:v>standard Spanish</x:v>
      </x:c>
      <x:c r="F55" s="4" t="str">
        <x:v>Spain and Americas</x:v>
      </x:c>
      <x:c r="G55" s="4" t="str">
        <x:v>Latn</x:v>
      </x:c>
      <x:c r="H55" s="4" t="str"/>
      <x:c r="I55" s="4" t="str"/>
      <x:c r="J55" s="4" t="str"/>
      <x:c r="K55" s="17" t="str"/>
      <x:c r="L55" s="4" t="str">
        <x:v>mathematics_mixed</x:v>
      </x:c>
      <x:c r="M55" s="4" t="str">
        <x:v>mathematics_mixed</x:v>
      </x:c>
      <x:c r="N55" s="14" t="str">
        <x:v>transfer_manifest_subject_label_not_page_topic_review</x:v>
      </x:c>
      <x:c r="O55" s="4" t="str">
        <x:v>unresolved_register</x:v>
      </x:c>
      <x:c r="P55" s="14" t="str">
        <x:v>ES-B-002_notas-san-salvador</x:v>
      </x:c>
      <x:c r="Q55" s="4" t="str">
        <x:v>tex</x:v>
      </x:c>
      <x:c r="R55" s="25" t="str">
        <x:v>2776</x:v>
      </x:c>
      <x:c r="S55" s="4" t="str">
        <x:v>FAD8C021D69E83739AEF805218032EA0FA975EE9B07A612CF6965A84FC24DF6D</x:v>
      </x:c>
      <x:c r="T55" s="4" t="str">
        <x:v>FAD8C021D69E83739AEF805218032EA0FA975EE9B07A612CF6965A84FC24DF6D</x:v>
      </x:c>
      <x:c r="U55" s="4" t="str">
        <x:v>source_file_is_canonical_search_text</x:v>
      </x:c>
      <x:c r="V55" s="14" t="str"/>
      <x:c r="W55" s="14" t="str">
        <x:v>local_or_non_http_locator_omitted</x:v>
      </x:c>
      <x:c r="X55" s="4" t="str">
        <x:v>recovered_transfer_20260706</x:v>
      </x:c>
      <x:c r="Y55" s="14" t="str">
        <x:v>spanish-repo-tex-body-presence; source-witness-candidate; license-gap-no-clearance; not-promoted</x:v>
      </x:c>
      <x:c r="Z55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55" s="14" t="str">
        <x:v>unresolved_no_explicit_grant</x:v>
      </x:c>
      <x:c r="AB55" s="4" t="str">
        <x:v>match</x:v>
      </x:c>
      <x:c r="AC55" s="14" t="str">
        <x:v>not_term_sense_reviewed</x:v>
      </x:c>
      <x:c r="AD55" s="4" t="str">
        <x:v>true</x:v>
      </x:c>
      <x:c r="AE55" s="4" t="str">
        <x:v>false</x:v>
      </x:c>
      <x:c r="AF55" s="4" t="str">
        <x:v>false</x:v>
      </x:c>
      <x:c r="AG55" s="14" t="str">
        <x:v>primary_unique</x:v>
      </x:c>
      <x:c r="AH55" s="25" t="str">
        <x:v>false</x:v>
      </x:c>
      <x:c r="AI55" s="4" t="str">
        <x:v>false</x:v>
      </x:c>
      <x:c r="AJ55" s="4" t="str">
        <x:v>preserved_noncounting_source_or_alias</x:v>
      </x:c>
      <x:c r="AK55" s="4" t="str">
        <x:v>false</x:v>
      </x:c>
      <x:c r="AL55" s="4" t="str">
        <x:v>false</x:v>
      </x:c>
      <x:c r="AM55" s="14" t="str"/>
      <x:c r="AN55" s="14" t="str">
        <x:v>not_declared</x:v>
      </x:c>
      <x:c r="AO55" s="4" t="str">
        <x:v>false</x:v>
      </x:c>
      <x:c r="AP55" s="14" t="str"/>
      <x:c r="AQ55" s="4" t="str"/>
    </x:row>
    <x:row r="56" ht="44" customHeight="1">
      <x:c r="A56" s="14" t="str">
        <x:v>TRANSFER-0062</x:v>
      </x:c>
      <x:c r="B56" s="14" t="str">
        <x:v>TRANSFER-ES-B-002_notas-san-salvador-outputs/source_canon_repo_text_probe/ES-B-002_notas-san-salvador/cuatro-cuadrados/cuatro-cuadrados.tex</x:v>
      </x:c>
      <x:c r="C56" s="4" t="str">
        <x:v>es</x:v>
      </x:c>
      <x:c r="D56" s="4" t="str">
        <x:v>es</x:v>
      </x:c>
      <x:c r="E56" s="14" t="str">
        <x:v>standard Spanish</x:v>
      </x:c>
      <x:c r="F56" s="4" t="str">
        <x:v>Spain and Americas</x:v>
      </x:c>
      <x:c r="G56" s="4" t="str">
        <x:v>Latn</x:v>
      </x:c>
      <x:c r="H56" s="4" t="str"/>
      <x:c r="I56" s="4" t="str"/>
      <x:c r="J56" s="4" t="str"/>
      <x:c r="K56" s="17" t="str"/>
      <x:c r="L56" s="4" t="str">
        <x:v>mathematics_mixed</x:v>
      </x:c>
      <x:c r="M56" s="4" t="str">
        <x:v>mathematics_mixed</x:v>
      </x:c>
      <x:c r="N56" s="14" t="str">
        <x:v>transfer_manifest_subject_label_not_page_topic_review</x:v>
      </x:c>
      <x:c r="O56" s="4" t="str">
        <x:v>unresolved_register</x:v>
      </x:c>
      <x:c r="P56" s="14" t="str">
        <x:v>ES-B-002_notas-san-salvador</x:v>
      </x:c>
      <x:c r="Q56" s="4" t="str">
        <x:v>tex</x:v>
      </x:c>
      <x:c r="R56" s="25" t="str">
        <x:v>32435</x:v>
      </x:c>
      <x:c r="S56" s="4" t="str">
        <x:v>362363F6AF9BBC76A71F725741085F3DEBF66E2FDA428492F32FFD3DDF4A13D1</x:v>
      </x:c>
      <x:c r="T56" s="4" t="str">
        <x:v>362363F6AF9BBC76A71F725741085F3DEBF66E2FDA428492F32FFD3DDF4A13D1</x:v>
      </x:c>
      <x:c r="U56" s="4" t="str">
        <x:v>source_file_is_canonical_search_text</x:v>
      </x:c>
      <x:c r="V56" s="14" t="str"/>
      <x:c r="W56" s="14" t="str">
        <x:v>local_or_non_http_locator_omitted</x:v>
      </x:c>
      <x:c r="X56" s="4" t="str">
        <x:v>recovered_transfer_20260706</x:v>
      </x:c>
      <x:c r="Y56" s="14" t="str">
        <x:v>spanish-repo-tex-body-presence; source-witness-candidate; license-gap-no-clearance; not-promoted</x:v>
      </x:c>
      <x:c r="Z56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56" s="14" t="str">
        <x:v>unresolved_no_explicit_grant</x:v>
      </x:c>
      <x:c r="AB56" s="4" t="str">
        <x:v>match</x:v>
      </x:c>
      <x:c r="AC56" s="14" t="str">
        <x:v>not_term_sense_reviewed</x:v>
      </x:c>
      <x:c r="AD56" s="4" t="str">
        <x:v>true</x:v>
      </x:c>
      <x:c r="AE56" s="4" t="str">
        <x:v>false</x:v>
      </x:c>
      <x:c r="AF56" s="4" t="str">
        <x:v>false</x:v>
      </x:c>
      <x:c r="AG56" s="14" t="str">
        <x:v>primary_unique</x:v>
      </x:c>
      <x:c r="AH56" s="25" t="str">
        <x:v>false</x:v>
      </x:c>
      <x:c r="AI56" s="4" t="str">
        <x:v>false</x:v>
      </x:c>
      <x:c r="AJ56" s="4" t="str">
        <x:v>preserved_noncounting_source_or_alias</x:v>
      </x:c>
      <x:c r="AK56" s="4" t="str">
        <x:v>false</x:v>
      </x:c>
      <x:c r="AL56" s="4" t="str">
        <x:v>false</x:v>
      </x:c>
      <x:c r="AM56" s="14" t="str"/>
      <x:c r="AN56" s="14" t="str">
        <x:v>not_declared</x:v>
      </x:c>
      <x:c r="AO56" s="4" t="str">
        <x:v>false</x:v>
      </x:c>
      <x:c r="AP56" s="14" t="str"/>
      <x:c r="AQ56" s="4" t="str"/>
    </x:row>
    <x:row r="57" ht="44" customHeight="1">
      <x:c r="A57" s="14" t="str">
        <x:v>TRANSFER-0063</x:v>
      </x:c>
      <x:c r="B57" s="14" t="str">
        <x:v>TRANSFER-ES-B-002_notas-san-salvador-outputs/source_canon_repo_text_probe/ES-B-002_notas-san-salvador/definitions.tex</x:v>
      </x:c>
      <x:c r="C57" s="4" t="str">
        <x:v>es</x:v>
      </x:c>
      <x:c r="D57" s="4" t="str">
        <x:v>es</x:v>
      </x:c>
      <x:c r="E57" s="14" t="str">
        <x:v>standard Spanish</x:v>
      </x:c>
      <x:c r="F57" s="4" t="str">
        <x:v>Spain and Americas</x:v>
      </x:c>
      <x:c r="G57" s="4" t="str">
        <x:v>Latn</x:v>
      </x:c>
      <x:c r="H57" s="4" t="str"/>
      <x:c r="I57" s="4" t="str"/>
      <x:c r="J57" s="4" t="str"/>
      <x:c r="K57" s="17" t="str"/>
      <x:c r="L57" s="4" t="str">
        <x:v>mathematics_mixed</x:v>
      </x:c>
      <x:c r="M57" s="4" t="str">
        <x:v>mathematics_mixed</x:v>
      </x:c>
      <x:c r="N57" s="14" t="str">
        <x:v>transfer_manifest_subject_label_not_page_topic_review</x:v>
      </x:c>
      <x:c r="O57" s="4" t="str">
        <x:v>unresolved_register</x:v>
      </x:c>
      <x:c r="P57" s="14" t="str">
        <x:v>ES-B-002_notas-san-salvador</x:v>
      </x:c>
      <x:c r="Q57" s="4" t="str">
        <x:v>tex</x:v>
      </x:c>
      <x:c r="R57" s="25" t="str">
        <x:v>16185</x:v>
      </x:c>
      <x:c r="S57" s="4" t="str">
        <x:v>56F0458E380F559187F02F2B5BD7D004A43F6B0F202392C9956FBD861A4982F5</x:v>
      </x:c>
      <x:c r="T57" s="4" t="str">
        <x:v>56F0458E380F559187F02F2B5BD7D004A43F6B0F202392C9956FBD861A4982F5</x:v>
      </x:c>
      <x:c r="U57" s="4" t="str">
        <x:v>source_file_is_canonical_search_text</x:v>
      </x:c>
      <x:c r="V57" s="14" t="str"/>
      <x:c r="W57" s="14" t="str">
        <x:v>local_or_non_http_locator_omitted</x:v>
      </x:c>
      <x:c r="X57" s="4" t="str">
        <x:v>recovered_transfer_20260706</x:v>
      </x:c>
      <x:c r="Y57" s="14" t="str">
        <x:v>spanish-repo-tex-body-presence; source-witness-candidate; license-gap-no-clearance; not-promoted</x:v>
      </x:c>
      <x:c r="Z57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57" s="14" t="str">
        <x:v>unresolved_no_explicit_grant</x:v>
      </x:c>
      <x:c r="AB57" s="4" t="str">
        <x:v>match</x:v>
      </x:c>
      <x:c r="AC57" s="14" t="str">
        <x:v>not_term_sense_reviewed</x:v>
      </x:c>
      <x:c r="AD57" s="4" t="str">
        <x:v>true</x:v>
      </x:c>
      <x:c r="AE57" s="4" t="str">
        <x:v>false</x:v>
      </x:c>
      <x:c r="AF57" s="4" t="str">
        <x:v>false</x:v>
      </x:c>
      <x:c r="AG57" s="14" t="str">
        <x:v>primary_unique</x:v>
      </x:c>
      <x:c r="AH57" s="25" t="str">
        <x:v>false</x:v>
      </x:c>
      <x:c r="AI57" s="4" t="str">
        <x:v>false</x:v>
      </x:c>
      <x:c r="AJ57" s="4" t="str">
        <x:v>preserved_noncounting_source_or_alias</x:v>
      </x:c>
      <x:c r="AK57" s="4" t="str">
        <x:v>false</x:v>
      </x:c>
      <x:c r="AL57" s="4" t="str">
        <x:v>false</x:v>
      </x:c>
      <x:c r="AM57" s="14" t="str"/>
      <x:c r="AN57" s="14" t="str">
        <x:v>not_declared</x:v>
      </x:c>
      <x:c r="AO57" s="4" t="str">
        <x:v>false</x:v>
      </x:c>
      <x:c r="AP57" s="14" t="str"/>
      <x:c r="AQ57" s="4" t="str"/>
    </x:row>
    <x:row r="58" ht="44" customHeight="1">
      <x:c r="A58" s="14" t="str">
        <x:v>TRANSFER-0064</x:v>
      </x:c>
      <x:c r="B58" s="14" t="str">
        <x:v>TRANSFER-ES-B-002_notas-san-salvador-outputs/source_canon_repo_text_probe/ES-B-002_notas-san-salvador/esquemas/esquemas.tex</x:v>
      </x:c>
      <x:c r="C58" s="4" t="str">
        <x:v>es</x:v>
      </x:c>
      <x:c r="D58" s="4" t="str">
        <x:v>es</x:v>
      </x:c>
      <x:c r="E58" s="14" t="str">
        <x:v>standard Spanish</x:v>
      </x:c>
      <x:c r="F58" s="4" t="str">
        <x:v>Spain and Americas</x:v>
      </x:c>
      <x:c r="G58" s="4" t="str">
        <x:v>Latn</x:v>
      </x:c>
      <x:c r="H58" s="4" t="str"/>
      <x:c r="I58" s="4" t="str"/>
      <x:c r="J58" s="4" t="str"/>
      <x:c r="K58" s="17" t="str"/>
      <x:c r="L58" s="4" t="str">
        <x:v>mathematics_mixed</x:v>
      </x:c>
      <x:c r="M58" s="4" t="str">
        <x:v>mathematics_mixed</x:v>
      </x:c>
      <x:c r="N58" s="14" t="str">
        <x:v>transfer_manifest_subject_label_not_page_topic_review</x:v>
      </x:c>
      <x:c r="O58" s="4" t="str">
        <x:v>unresolved_register</x:v>
      </x:c>
      <x:c r="P58" s="14" t="str">
        <x:v>ES-B-002_notas-san-salvador</x:v>
      </x:c>
      <x:c r="Q58" s="4" t="str">
        <x:v>tex</x:v>
      </x:c>
      <x:c r="R58" s="25" t="str">
        <x:v>225139</x:v>
      </x:c>
      <x:c r="S58" s="4" t="str">
        <x:v>F4CE06DFF9C158BC0390882F4E0FDCED1314370AE2B4D7FFBA64D905BFF74F6F</x:v>
      </x:c>
      <x:c r="T58" s="4" t="str">
        <x:v>F4CE06DFF9C158BC0390882F4E0FDCED1314370AE2B4D7FFBA64D905BFF74F6F</x:v>
      </x:c>
      <x:c r="U58" s="4" t="str">
        <x:v>source_file_is_canonical_search_text</x:v>
      </x:c>
      <x:c r="V58" s="14" t="str"/>
      <x:c r="W58" s="14" t="str">
        <x:v>local_or_non_http_locator_omitted</x:v>
      </x:c>
      <x:c r="X58" s="4" t="str">
        <x:v>recovered_transfer_20260706</x:v>
      </x:c>
      <x:c r="Y58" s="14" t="str">
        <x:v>spanish-repo-tex-body-presence; source-witness-candidate; license-gap-no-clearance; not-promoted</x:v>
      </x:c>
      <x:c r="Z58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58" s="14" t="str">
        <x:v>unresolved_no_explicit_grant</x:v>
      </x:c>
      <x:c r="AB58" s="4" t="str">
        <x:v>match</x:v>
      </x:c>
      <x:c r="AC58" s="14" t="str">
        <x:v>not_term_sense_reviewed</x:v>
      </x:c>
      <x:c r="AD58" s="4" t="str">
        <x:v>true</x:v>
      </x:c>
      <x:c r="AE58" s="4" t="str">
        <x:v>false</x:v>
      </x:c>
      <x:c r="AF58" s="4" t="str">
        <x:v>false</x:v>
      </x:c>
      <x:c r="AG58" s="14" t="str">
        <x:v>primary_unique</x:v>
      </x:c>
      <x:c r="AH58" s="25" t="str">
        <x:v>false</x:v>
      </x:c>
      <x:c r="AI58" s="4" t="str">
        <x:v>false</x:v>
      </x:c>
      <x:c r="AJ58" s="4" t="str">
        <x:v>preserved_noncounting_source_or_alias</x:v>
      </x:c>
      <x:c r="AK58" s="4" t="str">
        <x:v>false</x:v>
      </x:c>
      <x:c r="AL58" s="4" t="str">
        <x:v>false</x:v>
      </x:c>
      <x:c r="AM58" s="14" t="str"/>
      <x:c r="AN58" s="14" t="str">
        <x:v>not_declared</x:v>
      </x:c>
      <x:c r="AO58" s="4" t="str">
        <x:v>false</x:v>
      </x:c>
      <x:c r="AP58" s="14" t="str"/>
      <x:c r="AQ58" s="4" t="str"/>
    </x:row>
    <x:row r="59" ht="44" customHeight="1">
      <x:c r="A59" s="14" t="str">
        <x:v>TRANSFER-0065</x:v>
      </x:c>
      <x:c r="B59" s="14" t="str">
        <x:v>TRANSFER-ES-B-002_notas-san-salvador-outputs/source_canon_repo_text_probe/ES-B-002_notas-san-salvador/groebner/groebner.tex</x:v>
      </x:c>
      <x:c r="C59" s="4" t="str">
        <x:v>es</x:v>
      </x:c>
      <x:c r="D59" s="4" t="str">
        <x:v>es</x:v>
      </x:c>
      <x:c r="E59" s="14" t="str">
        <x:v>standard Spanish</x:v>
      </x:c>
      <x:c r="F59" s="4" t="str">
        <x:v>Spain and Americas</x:v>
      </x:c>
      <x:c r="G59" s="4" t="str">
        <x:v>Latn</x:v>
      </x:c>
      <x:c r="H59" s="4" t="str"/>
      <x:c r="I59" s="4" t="str"/>
      <x:c r="J59" s="4" t="str"/>
      <x:c r="K59" s="17" t="str"/>
      <x:c r="L59" s="4" t="str">
        <x:v>mathematics_mixed</x:v>
      </x:c>
      <x:c r="M59" s="4" t="str">
        <x:v>mathematics_mixed</x:v>
      </x:c>
      <x:c r="N59" s="14" t="str">
        <x:v>transfer_manifest_subject_label_not_page_topic_review</x:v>
      </x:c>
      <x:c r="O59" s="4" t="str">
        <x:v>unresolved_register</x:v>
      </x:c>
      <x:c r="P59" s="14" t="str">
        <x:v>ES-B-002_notas-san-salvador</x:v>
      </x:c>
      <x:c r="Q59" s="4" t="str">
        <x:v>tex</x:v>
      </x:c>
      <x:c r="R59" s="25" t="str">
        <x:v>327166</x:v>
      </x:c>
      <x:c r="S59" s="4" t="str">
        <x:v>C4F55009F47FADC94B75735F46667C8431711B5446C6372E1B9D91E3AFB6B325</x:v>
      </x:c>
      <x:c r="T59" s="4" t="str">
        <x:v>C4F55009F47FADC94B75735F46667C8431711B5446C6372E1B9D91E3AFB6B325</x:v>
      </x:c>
      <x:c r="U59" s="4" t="str">
        <x:v>source_file_is_canonical_search_text</x:v>
      </x:c>
      <x:c r="V59" s="14" t="str"/>
      <x:c r="W59" s="14" t="str">
        <x:v>local_or_non_http_locator_omitted</x:v>
      </x:c>
      <x:c r="X59" s="4" t="str">
        <x:v>recovered_transfer_20260706</x:v>
      </x:c>
      <x:c r="Y59" s="14" t="str">
        <x:v>spanish-repo-tex-body-presence; source-witness-candidate; license-gap-no-clearance; not-promoted</x:v>
      </x:c>
      <x:c r="Z59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59" s="14" t="str">
        <x:v>unresolved_no_explicit_grant</x:v>
      </x:c>
      <x:c r="AB59" s="4" t="str">
        <x:v>match</x:v>
      </x:c>
      <x:c r="AC59" s="14" t="str">
        <x:v>not_term_sense_reviewed</x:v>
      </x:c>
      <x:c r="AD59" s="4" t="str">
        <x:v>true</x:v>
      </x:c>
      <x:c r="AE59" s="4" t="str">
        <x:v>false</x:v>
      </x:c>
      <x:c r="AF59" s="4" t="str">
        <x:v>false</x:v>
      </x:c>
      <x:c r="AG59" s="14" t="str">
        <x:v>primary_unique</x:v>
      </x:c>
      <x:c r="AH59" s="25" t="str">
        <x:v>false</x:v>
      </x:c>
      <x:c r="AI59" s="4" t="str">
        <x:v>false</x:v>
      </x:c>
      <x:c r="AJ59" s="4" t="str">
        <x:v>preserved_noncounting_source_or_alias</x:v>
      </x:c>
      <x:c r="AK59" s="4" t="str">
        <x:v>false</x:v>
      </x:c>
      <x:c r="AL59" s="4" t="str">
        <x:v>false</x:v>
      </x:c>
      <x:c r="AM59" s="14" t="str"/>
      <x:c r="AN59" s="14" t="str">
        <x:v>not_declared</x:v>
      </x:c>
      <x:c r="AO59" s="4" t="str">
        <x:v>false</x:v>
      </x:c>
      <x:c r="AP59" s="14" t="str"/>
      <x:c r="AQ59" s="4" t="str"/>
    </x:row>
    <x:row r="60" ht="44" customHeight="1">
      <x:c r="A60" s="14" t="str">
        <x:v>TRANSFER-0066</x:v>
      </x:c>
      <x:c r="B60" s="14" t="str">
        <x:v>TRANSFER-ES-B-002_notas-san-salvador-outputs/source_canon_repo_text_probe/ES-B-002_notas-san-salvador/groebner/parcial-1-preparacion.tex</x:v>
      </x:c>
      <x:c r="C60" s="4" t="str">
        <x:v>es</x:v>
      </x:c>
      <x:c r="D60" s="4" t="str">
        <x:v>es</x:v>
      </x:c>
      <x:c r="E60" s="14" t="str">
        <x:v>standard Spanish</x:v>
      </x:c>
      <x:c r="F60" s="4" t="str">
        <x:v>Spain and Americas</x:v>
      </x:c>
      <x:c r="G60" s="4" t="str">
        <x:v>Latn</x:v>
      </x:c>
      <x:c r="H60" s="4" t="str"/>
      <x:c r="I60" s="4" t="str"/>
      <x:c r="J60" s="4" t="str"/>
      <x:c r="K60" s="17" t="str"/>
      <x:c r="L60" s="4" t="str">
        <x:v>mathematics_mixed</x:v>
      </x:c>
      <x:c r="M60" s="4" t="str">
        <x:v>mathematics_mixed</x:v>
      </x:c>
      <x:c r="N60" s="14" t="str">
        <x:v>transfer_manifest_subject_label_not_page_topic_review</x:v>
      </x:c>
      <x:c r="O60" s="4" t="str">
        <x:v>unresolved_register</x:v>
      </x:c>
      <x:c r="P60" s="14" t="str">
        <x:v>ES-B-002_notas-san-salvador</x:v>
      </x:c>
      <x:c r="Q60" s="4" t="str">
        <x:v>tex</x:v>
      </x:c>
      <x:c r="R60" s="25" t="str">
        <x:v>1149</x:v>
      </x:c>
      <x:c r="S60" s="4" t="str">
        <x:v>88F3C750D82AFF2A43FC4CA6884B20F7C17F5638EAB57E266E9C24A2E7D0BA0B</x:v>
      </x:c>
      <x:c r="T60" s="4" t="str">
        <x:v>88F3C750D82AFF2A43FC4CA6884B20F7C17F5638EAB57E266E9C24A2E7D0BA0B</x:v>
      </x:c>
      <x:c r="U60" s="4" t="str">
        <x:v>source_file_is_canonical_search_text</x:v>
      </x:c>
      <x:c r="V60" s="14" t="str"/>
      <x:c r="W60" s="14" t="str">
        <x:v>local_or_non_http_locator_omitted</x:v>
      </x:c>
      <x:c r="X60" s="4" t="str">
        <x:v>recovered_transfer_20260706</x:v>
      </x:c>
      <x:c r="Y60" s="14" t="str">
        <x:v>spanish-repo-tex-body-presence; source-witness-candidate; license-gap-no-clearance; not-promoted</x:v>
      </x:c>
      <x:c r="Z60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60" s="14" t="str">
        <x:v>unresolved_no_explicit_grant</x:v>
      </x:c>
      <x:c r="AB60" s="4" t="str">
        <x:v>match</x:v>
      </x:c>
      <x:c r="AC60" s="14" t="str">
        <x:v>not_term_sense_reviewed</x:v>
      </x:c>
      <x:c r="AD60" s="4" t="str">
        <x:v>true</x:v>
      </x:c>
      <x:c r="AE60" s="4" t="str">
        <x:v>false</x:v>
      </x:c>
      <x:c r="AF60" s="4" t="str">
        <x:v>false</x:v>
      </x:c>
      <x:c r="AG60" s="14" t="str">
        <x:v>primary_unique</x:v>
      </x:c>
      <x:c r="AH60" s="25" t="str">
        <x:v>false</x:v>
      </x:c>
      <x:c r="AI60" s="4" t="str">
        <x:v>false</x:v>
      </x:c>
      <x:c r="AJ60" s="4" t="str">
        <x:v>preserved_noncounting_source_or_alias</x:v>
      </x:c>
      <x:c r="AK60" s="4" t="str">
        <x:v>false</x:v>
      </x:c>
      <x:c r="AL60" s="4" t="str">
        <x:v>false</x:v>
      </x:c>
      <x:c r="AM60" s="14" t="str"/>
      <x:c r="AN60" s="14" t="str">
        <x:v>not_declared</x:v>
      </x:c>
      <x:c r="AO60" s="4" t="str">
        <x:v>false</x:v>
      </x:c>
      <x:c r="AP60" s="14" t="str"/>
      <x:c r="AQ60" s="4" t="str"/>
    </x:row>
    <x:row r="61" ht="44" customHeight="1">
      <x:c r="A61" s="14" t="str">
        <x:v>TRANSFER-0067</x:v>
      </x:c>
      <x:c r="B61" s="14" t="str">
        <x:v>TRANSFER-ES-B-002_notas-san-salvador-outputs/source_canon_repo_text_probe/ES-B-002_notas-san-salvador/groebner/parcial-1.tex</x:v>
      </x:c>
      <x:c r="C61" s="4" t="str">
        <x:v>es</x:v>
      </x:c>
      <x:c r="D61" s="4" t="str">
        <x:v>es</x:v>
      </x:c>
      <x:c r="E61" s="14" t="str">
        <x:v>standard Spanish</x:v>
      </x:c>
      <x:c r="F61" s="4" t="str">
        <x:v>Spain and Americas</x:v>
      </x:c>
      <x:c r="G61" s="4" t="str">
        <x:v>Latn</x:v>
      </x:c>
      <x:c r="H61" s="4" t="str"/>
      <x:c r="I61" s="4" t="str"/>
      <x:c r="J61" s="4" t="str"/>
      <x:c r="K61" s="17" t="str"/>
      <x:c r="L61" s="4" t="str">
        <x:v>mathematics_mixed</x:v>
      </x:c>
      <x:c r="M61" s="4" t="str">
        <x:v>mathematics_mixed</x:v>
      </x:c>
      <x:c r="N61" s="14" t="str">
        <x:v>transfer_manifest_subject_label_not_page_topic_review</x:v>
      </x:c>
      <x:c r="O61" s="4" t="str">
        <x:v>unresolved_register</x:v>
      </x:c>
      <x:c r="P61" s="14" t="str">
        <x:v>ES-B-002_notas-san-salvador</x:v>
      </x:c>
      <x:c r="Q61" s="4" t="str">
        <x:v>tex</x:v>
      </x:c>
      <x:c r="R61" s="25" t="str">
        <x:v>14854</x:v>
      </x:c>
      <x:c r="S61" s="4" t="str">
        <x:v>CC380120947BB38D10889FD8EB850CF92031ABA0F0D8D68F2A7A5D4CCC5889AC</x:v>
      </x:c>
      <x:c r="T61" s="4" t="str">
        <x:v>CC380120947BB38D10889FD8EB850CF92031ABA0F0D8D68F2A7A5D4CCC5889AC</x:v>
      </x:c>
      <x:c r="U61" s="4" t="str">
        <x:v>source_file_is_canonical_search_text</x:v>
      </x:c>
      <x:c r="V61" s="14" t="str"/>
      <x:c r="W61" s="14" t="str">
        <x:v>local_or_non_http_locator_omitted</x:v>
      </x:c>
      <x:c r="X61" s="4" t="str">
        <x:v>recovered_transfer_20260706</x:v>
      </x:c>
      <x:c r="Y61" s="14" t="str">
        <x:v>spanish-repo-tex-body-presence; source-witness-candidate; license-gap-no-clearance; not-promoted</x:v>
      </x:c>
      <x:c r="Z61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61" s="14" t="str">
        <x:v>unresolved_no_explicit_grant</x:v>
      </x:c>
      <x:c r="AB61" s="4" t="str">
        <x:v>match</x:v>
      </x:c>
      <x:c r="AC61" s="14" t="str">
        <x:v>not_term_sense_reviewed</x:v>
      </x:c>
      <x:c r="AD61" s="4" t="str">
        <x:v>true</x:v>
      </x:c>
      <x:c r="AE61" s="4" t="str">
        <x:v>false</x:v>
      </x:c>
      <x:c r="AF61" s="4" t="str">
        <x:v>false</x:v>
      </x:c>
      <x:c r="AG61" s="14" t="str">
        <x:v>primary_unique</x:v>
      </x:c>
      <x:c r="AH61" s="25" t="str">
        <x:v>false</x:v>
      </x:c>
      <x:c r="AI61" s="4" t="str">
        <x:v>false</x:v>
      </x:c>
      <x:c r="AJ61" s="4" t="str">
        <x:v>preserved_noncounting_source_or_alias</x:v>
      </x:c>
      <x:c r="AK61" s="4" t="str">
        <x:v>false</x:v>
      </x:c>
      <x:c r="AL61" s="4" t="str">
        <x:v>false</x:v>
      </x:c>
      <x:c r="AM61" s="14" t="str"/>
      <x:c r="AN61" s="14" t="str">
        <x:v>not_declared</x:v>
      </x:c>
      <x:c r="AO61" s="4" t="str">
        <x:v>false</x:v>
      </x:c>
      <x:c r="AP61" s="14" t="str"/>
      <x:c r="AQ61" s="4" t="str"/>
    </x:row>
    <x:row r="62" ht="44" customHeight="1">
      <x:c r="A62" s="14" t="str">
        <x:v>TRANSFER-0068</x:v>
      </x:c>
      <x:c r="B62" s="14" t="str">
        <x:v>TRANSFER-ES-B-002_notas-san-salvador-outputs/source_canon_repo_text_probe/ES-B-002_notas-san-salvador/groebner/parcial-2.tex</x:v>
      </x:c>
      <x:c r="C62" s="4" t="str">
        <x:v>es</x:v>
      </x:c>
      <x:c r="D62" s="4" t="str">
        <x:v>es</x:v>
      </x:c>
      <x:c r="E62" s="14" t="str">
        <x:v>standard Spanish</x:v>
      </x:c>
      <x:c r="F62" s="4" t="str">
        <x:v>Spain and Americas</x:v>
      </x:c>
      <x:c r="G62" s="4" t="str">
        <x:v>Latn</x:v>
      </x:c>
      <x:c r="H62" s="4" t="str"/>
      <x:c r="I62" s="4" t="str"/>
      <x:c r="J62" s="4" t="str"/>
      <x:c r="K62" s="17" t="str"/>
      <x:c r="L62" s="4" t="str">
        <x:v>mathematics_mixed</x:v>
      </x:c>
      <x:c r="M62" s="4" t="str">
        <x:v>mathematics_mixed</x:v>
      </x:c>
      <x:c r="N62" s="14" t="str">
        <x:v>transfer_manifest_subject_label_not_page_topic_review</x:v>
      </x:c>
      <x:c r="O62" s="4" t="str">
        <x:v>unresolved_register</x:v>
      </x:c>
      <x:c r="P62" s="14" t="str">
        <x:v>ES-B-002_notas-san-salvador</x:v>
      </x:c>
      <x:c r="Q62" s="4" t="str">
        <x:v>tex</x:v>
      </x:c>
      <x:c r="R62" s="25" t="str">
        <x:v>10681</x:v>
      </x:c>
      <x:c r="S62" s="4" t="str">
        <x:v>12850415B88307FEEB792744D0EE6A0AA6B6EB5EEC05445801DA545C5134DFC0</x:v>
      </x:c>
      <x:c r="T62" s="4" t="str">
        <x:v>12850415B88307FEEB792744D0EE6A0AA6B6EB5EEC05445801DA545C5134DFC0</x:v>
      </x:c>
      <x:c r="U62" s="4" t="str">
        <x:v>source_file_is_canonical_search_text</x:v>
      </x:c>
      <x:c r="V62" s="14" t="str"/>
      <x:c r="W62" s="14" t="str">
        <x:v>local_or_non_http_locator_omitted</x:v>
      </x:c>
      <x:c r="X62" s="4" t="str">
        <x:v>recovered_transfer_20260706</x:v>
      </x:c>
      <x:c r="Y62" s="14" t="str">
        <x:v>spanish-repo-tex-body-presence; source-witness-candidate; license-gap-no-clearance; not-promoted</x:v>
      </x:c>
      <x:c r="Z62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62" s="14" t="str">
        <x:v>unresolved_no_explicit_grant</x:v>
      </x:c>
      <x:c r="AB62" s="4" t="str">
        <x:v>match</x:v>
      </x:c>
      <x:c r="AC62" s="14" t="str">
        <x:v>not_term_sense_reviewed</x:v>
      </x:c>
      <x:c r="AD62" s="4" t="str">
        <x:v>true</x:v>
      </x:c>
      <x:c r="AE62" s="4" t="str">
        <x:v>false</x:v>
      </x:c>
      <x:c r="AF62" s="4" t="str">
        <x:v>false</x:v>
      </x:c>
      <x:c r="AG62" s="14" t="str">
        <x:v>primary_unique</x:v>
      </x:c>
      <x:c r="AH62" s="25" t="str">
        <x:v>false</x:v>
      </x:c>
      <x:c r="AI62" s="4" t="str">
        <x:v>false</x:v>
      </x:c>
      <x:c r="AJ62" s="4" t="str">
        <x:v>preserved_noncounting_source_or_alias</x:v>
      </x:c>
      <x:c r="AK62" s="4" t="str">
        <x:v>false</x:v>
      </x:c>
      <x:c r="AL62" s="4" t="str">
        <x:v>false</x:v>
      </x:c>
      <x:c r="AM62" s="14" t="str"/>
      <x:c r="AN62" s="14" t="str">
        <x:v>not_declared</x:v>
      </x:c>
      <x:c r="AO62" s="4" t="str">
        <x:v>false</x:v>
      </x:c>
      <x:c r="AP62" s="14" t="str"/>
      <x:c r="AQ62" s="4" t="str"/>
    </x:row>
    <x:row r="63" ht="44" customHeight="1">
      <x:c r="A63" s="14" t="str">
        <x:v>TRANSFER-0069</x:v>
      </x:c>
      <x:c r="B63" s="14" t="str">
        <x:v>TRANSFER-ES-B-002_notas-san-salvador-outputs/source_canon_repo_text_probe/ES-B-002_notas-san-salvador/groebner/recuperacion-2019-06-20.tex</x:v>
      </x:c>
      <x:c r="C63" s="4" t="str">
        <x:v>es</x:v>
      </x:c>
      <x:c r="D63" s="4" t="str">
        <x:v>es</x:v>
      </x:c>
      <x:c r="E63" s="14" t="str">
        <x:v>standard Spanish</x:v>
      </x:c>
      <x:c r="F63" s="4" t="str">
        <x:v>Spain and Americas</x:v>
      </x:c>
      <x:c r="G63" s="4" t="str">
        <x:v>Latn</x:v>
      </x:c>
      <x:c r="H63" s="4" t="str"/>
      <x:c r="I63" s="4" t="str"/>
      <x:c r="J63" s="4" t="str"/>
      <x:c r="K63" s="17" t="str"/>
      <x:c r="L63" s="4" t="str">
        <x:v>mathematics_mixed</x:v>
      </x:c>
      <x:c r="M63" s="4" t="str">
        <x:v>mathematics_mixed</x:v>
      </x:c>
      <x:c r="N63" s="14" t="str">
        <x:v>transfer_manifest_subject_label_not_page_topic_review</x:v>
      </x:c>
      <x:c r="O63" s="4" t="str">
        <x:v>unresolved_register</x:v>
      </x:c>
      <x:c r="P63" s="14" t="str">
        <x:v>ES-B-002_notas-san-salvador</x:v>
      </x:c>
      <x:c r="Q63" s="4" t="str">
        <x:v>tex</x:v>
      </x:c>
      <x:c r="R63" s="25" t="str">
        <x:v>1727</x:v>
      </x:c>
      <x:c r="S63" s="4" t="str">
        <x:v>85132A98C5B3E73B875E0069967396FB569E0733841BF8A920666A10E9CFBE6A</x:v>
      </x:c>
      <x:c r="T63" s="4" t="str">
        <x:v>85132A98C5B3E73B875E0069967396FB569E0733841BF8A920666A10E9CFBE6A</x:v>
      </x:c>
      <x:c r="U63" s="4" t="str">
        <x:v>source_file_is_canonical_search_text</x:v>
      </x:c>
      <x:c r="V63" s="14" t="str"/>
      <x:c r="W63" s="14" t="str">
        <x:v>local_or_non_http_locator_omitted</x:v>
      </x:c>
      <x:c r="X63" s="4" t="str">
        <x:v>recovered_transfer_20260706</x:v>
      </x:c>
      <x:c r="Y63" s="14" t="str">
        <x:v>spanish-repo-tex-body-presence; source-witness-candidate; license-gap-no-clearance; not-promoted</x:v>
      </x:c>
      <x:c r="Z63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63" s="14" t="str">
        <x:v>unresolved_no_explicit_grant</x:v>
      </x:c>
      <x:c r="AB63" s="4" t="str">
        <x:v>match</x:v>
      </x:c>
      <x:c r="AC63" s="14" t="str">
        <x:v>not_term_sense_reviewed</x:v>
      </x:c>
      <x:c r="AD63" s="4" t="str">
        <x:v>true</x:v>
      </x:c>
      <x:c r="AE63" s="4" t="str">
        <x:v>false</x:v>
      </x:c>
      <x:c r="AF63" s="4" t="str">
        <x:v>false</x:v>
      </x:c>
      <x:c r="AG63" s="14" t="str">
        <x:v>primary_unique</x:v>
      </x:c>
      <x:c r="AH63" s="25" t="str">
        <x:v>false</x:v>
      </x:c>
      <x:c r="AI63" s="4" t="str">
        <x:v>false</x:v>
      </x:c>
      <x:c r="AJ63" s="4" t="str">
        <x:v>preserved_noncounting_source_or_alias</x:v>
      </x:c>
      <x:c r="AK63" s="4" t="str">
        <x:v>false</x:v>
      </x:c>
      <x:c r="AL63" s="4" t="str">
        <x:v>false</x:v>
      </x:c>
      <x:c r="AM63" s="14" t="str"/>
      <x:c r="AN63" s="14" t="str">
        <x:v>not_declared</x:v>
      </x:c>
      <x:c r="AO63" s="4" t="str">
        <x:v>false</x:v>
      </x:c>
      <x:c r="AP63" s="14" t="str"/>
      <x:c r="AQ63" s="4" t="str"/>
    </x:row>
    <x:row r="64" ht="44" customHeight="1">
      <x:c r="A64" s="14" t="str">
        <x:v>TRANSFER-0070</x:v>
      </x:c>
      <x:c r="B64" s="14" t="str">
        <x:v>TRANSFER-ES-B-002_notas-san-salvador-outputs/source_canon_repo_text_probe/ES-B-002_notas-san-salvador/groebner/tarea-1.tex</x:v>
      </x:c>
      <x:c r="C64" s="4" t="str">
        <x:v>es</x:v>
      </x:c>
      <x:c r="D64" s="4" t="str">
        <x:v>es</x:v>
      </x:c>
      <x:c r="E64" s="14" t="str">
        <x:v>standard Spanish</x:v>
      </x:c>
      <x:c r="F64" s="4" t="str">
        <x:v>Spain and Americas</x:v>
      </x:c>
      <x:c r="G64" s="4" t="str">
        <x:v>Latn</x:v>
      </x:c>
      <x:c r="H64" s="4" t="str"/>
      <x:c r="I64" s="4" t="str"/>
      <x:c r="J64" s="4" t="str"/>
      <x:c r="K64" s="17" t="str"/>
      <x:c r="L64" s="4" t="str">
        <x:v>mathematics_mixed</x:v>
      </x:c>
      <x:c r="M64" s="4" t="str">
        <x:v>mathematics_mixed</x:v>
      </x:c>
      <x:c r="N64" s="14" t="str">
        <x:v>transfer_manifest_subject_label_not_page_topic_review</x:v>
      </x:c>
      <x:c r="O64" s="4" t="str">
        <x:v>unresolved_register</x:v>
      </x:c>
      <x:c r="P64" s="14" t="str">
        <x:v>ES-B-002_notas-san-salvador</x:v>
      </x:c>
      <x:c r="Q64" s="4" t="str">
        <x:v>tex</x:v>
      </x:c>
      <x:c r="R64" s="25" t="str">
        <x:v>13613</x:v>
      </x:c>
      <x:c r="S64" s="4" t="str">
        <x:v>1671E20011D4FF9A8573E2780EB776D5B806889AADE70FC3591BE8F1E005DA25</x:v>
      </x:c>
      <x:c r="T64" s="4" t="str">
        <x:v>1671E20011D4FF9A8573E2780EB776D5B806889AADE70FC3591BE8F1E005DA25</x:v>
      </x:c>
      <x:c r="U64" s="4" t="str">
        <x:v>source_file_is_canonical_search_text</x:v>
      </x:c>
      <x:c r="V64" s="14" t="str"/>
      <x:c r="W64" s="14" t="str">
        <x:v>local_or_non_http_locator_omitted</x:v>
      </x:c>
      <x:c r="X64" s="4" t="str">
        <x:v>recovered_transfer_20260706</x:v>
      </x:c>
      <x:c r="Y64" s="14" t="str">
        <x:v>spanish-repo-tex-body-presence; source-witness-candidate; license-gap-no-clearance; not-promoted</x:v>
      </x:c>
      <x:c r="Z64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64" s="14" t="str">
        <x:v>unresolved_no_explicit_grant</x:v>
      </x:c>
      <x:c r="AB64" s="4" t="str">
        <x:v>match</x:v>
      </x:c>
      <x:c r="AC64" s="14" t="str">
        <x:v>not_term_sense_reviewed</x:v>
      </x:c>
      <x:c r="AD64" s="4" t="str">
        <x:v>true</x:v>
      </x:c>
      <x:c r="AE64" s="4" t="str">
        <x:v>false</x:v>
      </x:c>
      <x:c r="AF64" s="4" t="str">
        <x:v>false</x:v>
      </x:c>
      <x:c r="AG64" s="14" t="str">
        <x:v>primary_unique</x:v>
      </x:c>
      <x:c r="AH64" s="25" t="str">
        <x:v>false</x:v>
      </x:c>
      <x:c r="AI64" s="4" t="str">
        <x:v>false</x:v>
      </x:c>
      <x:c r="AJ64" s="4" t="str">
        <x:v>preserved_noncounting_source_or_alias</x:v>
      </x:c>
      <x:c r="AK64" s="4" t="str">
        <x:v>false</x:v>
      </x:c>
      <x:c r="AL64" s="4" t="str">
        <x:v>false</x:v>
      </x:c>
      <x:c r="AM64" s="14" t="str"/>
      <x:c r="AN64" s="14" t="str">
        <x:v>not_declared</x:v>
      </x:c>
      <x:c r="AO64" s="4" t="str">
        <x:v>false</x:v>
      </x:c>
      <x:c r="AP64" s="14" t="str"/>
      <x:c r="AQ64" s="4" t="str"/>
    </x:row>
    <x:row r="65" ht="44" customHeight="1">
      <x:c r="A65" s="14" t="str">
        <x:v>TRANSFER-0071</x:v>
      </x:c>
      <x:c r="B65" s="14" t="str">
        <x:v>TRANSFER-ES-B-002_notas-san-salvador-outputs/source_canon_repo_text_probe/ES-B-002_notas-san-salvador/groebner/tarea-2.tex</x:v>
      </x:c>
      <x:c r="C65" s="4" t="str">
        <x:v>es</x:v>
      </x:c>
      <x:c r="D65" s="4" t="str">
        <x:v>es</x:v>
      </x:c>
      <x:c r="E65" s="14" t="str">
        <x:v>standard Spanish</x:v>
      </x:c>
      <x:c r="F65" s="4" t="str">
        <x:v>Spain and Americas</x:v>
      </x:c>
      <x:c r="G65" s="4" t="str">
        <x:v>Latn</x:v>
      </x:c>
      <x:c r="H65" s="4" t="str"/>
      <x:c r="I65" s="4" t="str"/>
      <x:c r="J65" s="4" t="str"/>
      <x:c r="K65" s="17" t="str"/>
      <x:c r="L65" s="4" t="str">
        <x:v>mathematics_mixed</x:v>
      </x:c>
      <x:c r="M65" s="4" t="str">
        <x:v>mathematics_mixed</x:v>
      </x:c>
      <x:c r="N65" s="14" t="str">
        <x:v>transfer_manifest_subject_label_not_page_topic_review</x:v>
      </x:c>
      <x:c r="O65" s="4" t="str">
        <x:v>unresolved_register</x:v>
      </x:c>
      <x:c r="P65" s="14" t="str">
        <x:v>ES-B-002_notas-san-salvador</x:v>
      </x:c>
      <x:c r="Q65" s="4" t="str">
        <x:v>tex</x:v>
      </x:c>
      <x:c r="R65" s="25" t="str">
        <x:v>4660</x:v>
      </x:c>
      <x:c r="S65" s="4" t="str">
        <x:v>B09007B4A76E495C2CBE24C65D0CA6A36EE51664E510DCECE07B163DEDAAABC1</x:v>
      </x:c>
      <x:c r="T65" s="4" t="str">
        <x:v>B09007B4A76E495C2CBE24C65D0CA6A36EE51664E510DCECE07B163DEDAAABC1</x:v>
      </x:c>
      <x:c r="U65" s="4" t="str">
        <x:v>source_file_is_canonical_search_text</x:v>
      </x:c>
      <x:c r="V65" s="14" t="str"/>
      <x:c r="W65" s="14" t="str">
        <x:v>local_or_non_http_locator_omitted</x:v>
      </x:c>
      <x:c r="X65" s="4" t="str">
        <x:v>recovered_transfer_20260706</x:v>
      </x:c>
      <x:c r="Y65" s="14" t="str">
        <x:v>spanish-repo-tex-body-presence; source-witness-candidate; license-gap-no-clearance; not-promoted</x:v>
      </x:c>
      <x:c r="Z65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65" s="14" t="str">
        <x:v>unresolved_no_explicit_grant</x:v>
      </x:c>
      <x:c r="AB65" s="4" t="str">
        <x:v>match</x:v>
      </x:c>
      <x:c r="AC65" s="14" t="str">
        <x:v>not_term_sense_reviewed</x:v>
      </x:c>
      <x:c r="AD65" s="4" t="str">
        <x:v>true</x:v>
      </x:c>
      <x:c r="AE65" s="4" t="str">
        <x:v>false</x:v>
      </x:c>
      <x:c r="AF65" s="4" t="str">
        <x:v>false</x:v>
      </x:c>
      <x:c r="AG65" s="14" t="str">
        <x:v>primary_unique</x:v>
      </x:c>
      <x:c r="AH65" s="25" t="str">
        <x:v>false</x:v>
      </x:c>
      <x:c r="AI65" s="4" t="str">
        <x:v>false</x:v>
      </x:c>
      <x:c r="AJ65" s="4" t="str">
        <x:v>preserved_noncounting_source_or_alias</x:v>
      </x:c>
      <x:c r="AK65" s="4" t="str">
        <x:v>false</x:v>
      </x:c>
      <x:c r="AL65" s="4" t="str">
        <x:v>false</x:v>
      </x:c>
      <x:c r="AM65" s="14" t="str"/>
      <x:c r="AN65" s="14" t="str">
        <x:v>not_declared</x:v>
      </x:c>
      <x:c r="AO65" s="4" t="str">
        <x:v>false</x:v>
      </x:c>
      <x:c r="AP65" s="14" t="str"/>
      <x:c r="AQ65" s="4" t="str"/>
    </x:row>
    <x:row r="66" ht="44" customHeight="1">
      <x:c r="A66" s="14" t="str">
        <x:v>TRANSFER-0072</x:v>
      </x:c>
      <x:c r="B66" s="14" t="str">
        <x:v>TRANSFER-ES-B-002_notas-san-salvador-outputs/source_canon_repo_text_probe/ES-B-002_notas-san-salvador/groebner/tarea-3.tex</x:v>
      </x:c>
      <x:c r="C66" s="4" t="str">
        <x:v>es</x:v>
      </x:c>
      <x:c r="D66" s="4" t="str">
        <x:v>es</x:v>
      </x:c>
      <x:c r="E66" s="14" t="str">
        <x:v>standard Spanish</x:v>
      </x:c>
      <x:c r="F66" s="4" t="str">
        <x:v>Spain and Americas</x:v>
      </x:c>
      <x:c r="G66" s="4" t="str">
        <x:v>Latn</x:v>
      </x:c>
      <x:c r="H66" s="4" t="str"/>
      <x:c r="I66" s="4" t="str"/>
      <x:c r="J66" s="4" t="str"/>
      <x:c r="K66" s="17" t="str"/>
      <x:c r="L66" s="4" t="str">
        <x:v>mathematics_mixed</x:v>
      </x:c>
      <x:c r="M66" s="4" t="str">
        <x:v>mathematics_mixed</x:v>
      </x:c>
      <x:c r="N66" s="14" t="str">
        <x:v>transfer_manifest_subject_label_not_page_topic_review</x:v>
      </x:c>
      <x:c r="O66" s="4" t="str">
        <x:v>unresolved_register</x:v>
      </x:c>
      <x:c r="P66" s="14" t="str">
        <x:v>ES-B-002_notas-san-salvador</x:v>
      </x:c>
      <x:c r="Q66" s="4" t="str">
        <x:v>tex</x:v>
      </x:c>
      <x:c r="R66" s="25" t="str">
        <x:v>24201</x:v>
      </x:c>
      <x:c r="S66" s="4" t="str">
        <x:v>AEA66BE9106277B6BD4403B75BC9607E71C527A85776D3FBBDDECCFBEE46CC1F</x:v>
      </x:c>
      <x:c r="T66" s="4" t="str">
        <x:v>AEA66BE9106277B6BD4403B75BC9607E71C527A85776D3FBBDDECCFBEE46CC1F</x:v>
      </x:c>
      <x:c r="U66" s="4" t="str">
        <x:v>source_file_is_canonical_search_text</x:v>
      </x:c>
      <x:c r="V66" s="14" t="str"/>
      <x:c r="W66" s="14" t="str">
        <x:v>local_or_non_http_locator_omitted</x:v>
      </x:c>
      <x:c r="X66" s="4" t="str">
        <x:v>recovered_transfer_20260706</x:v>
      </x:c>
      <x:c r="Y66" s="14" t="str">
        <x:v>spanish-repo-tex-body-presence; source-witness-candidate; license-gap-no-clearance; not-promoted</x:v>
      </x:c>
      <x:c r="Z66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66" s="14" t="str">
        <x:v>unresolved_no_explicit_grant</x:v>
      </x:c>
      <x:c r="AB66" s="4" t="str">
        <x:v>match</x:v>
      </x:c>
      <x:c r="AC66" s="14" t="str">
        <x:v>not_term_sense_reviewed</x:v>
      </x:c>
      <x:c r="AD66" s="4" t="str">
        <x:v>true</x:v>
      </x:c>
      <x:c r="AE66" s="4" t="str">
        <x:v>false</x:v>
      </x:c>
      <x:c r="AF66" s="4" t="str">
        <x:v>false</x:v>
      </x:c>
      <x:c r="AG66" s="14" t="str">
        <x:v>primary_unique</x:v>
      </x:c>
      <x:c r="AH66" s="25" t="str">
        <x:v>false</x:v>
      </x:c>
      <x:c r="AI66" s="4" t="str">
        <x:v>false</x:v>
      </x:c>
      <x:c r="AJ66" s="4" t="str">
        <x:v>preserved_noncounting_source_or_alias</x:v>
      </x:c>
      <x:c r="AK66" s="4" t="str">
        <x:v>false</x:v>
      </x:c>
      <x:c r="AL66" s="4" t="str">
        <x:v>false</x:v>
      </x:c>
      <x:c r="AM66" s="14" t="str"/>
      <x:c r="AN66" s="14" t="str">
        <x:v>not_declared</x:v>
      </x:c>
      <x:c r="AO66" s="4" t="str">
        <x:v>false</x:v>
      </x:c>
      <x:c r="AP66" s="14" t="str"/>
      <x:c r="AQ66" s="4" t="str"/>
    </x:row>
    <x:row r="67" ht="44" customHeight="1">
      <x:c r="A67" s="14" t="str">
        <x:v>TRANSFER-0073</x:v>
      </x:c>
      <x:c r="B67" s="14" t="str">
        <x:v>TRANSFER-ES-B-002_notas-san-salvador-outputs/source_canon_repo_text_probe/ES-B-002_notas-san-salvador/groebner/tarea-4.tex</x:v>
      </x:c>
      <x:c r="C67" s="4" t="str">
        <x:v>es</x:v>
      </x:c>
      <x:c r="D67" s="4" t="str">
        <x:v>es</x:v>
      </x:c>
      <x:c r="E67" s="14" t="str">
        <x:v>standard Spanish</x:v>
      </x:c>
      <x:c r="F67" s="4" t="str">
        <x:v>Spain and Americas</x:v>
      </x:c>
      <x:c r="G67" s="4" t="str">
        <x:v>Latn</x:v>
      </x:c>
      <x:c r="H67" s="4" t="str"/>
      <x:c r="I67" s="4" t="str"/>
      <x:c r="J67" s="4" t="str"/>
      <x:c r="K67" s="17" t="str"/>
      <x:c r="L67" s="4" t="str">
        <x:v>mathematics_mixed</x:v>
      </x:c>
      <x:c r="M67" s="4" t="str">
        <x:v>mathematics_mixed</x:v>
      </x:c>
      <x:c r="N67" s="14" t="str">
        <x:v>transfer_manifest_subject_label_not_page_topic_review</x:v>
      </x:c>
      <x:c r="O67" s="4" t="str">
        <x:v>unresolved_register</x:v>
      </x:c>
      <x:c r="P67" s="14" t="str">
        <x:v>ES-B-002_notas-san-salvador</x:v>
      </x:c>
      <x:c r="Q67" s="4" t="str">
        <x:v>tex</x:v>
      </x:c>
      <x:c r="R67" s="25" t="str">
        <x:v>27202</x:v>
      </x:c>
      <x:c r="S67" s="4" t="str">
        <x:v>29AEE330FA8036D23E08F7CEA4D41A554EDB5AE8F6CF1560AD236000F5E00B83</x:v>
      </x:c>
      <x:c r="T67" s="4" t="str">
        <x:v>29AEE330FA8036D23E08F7CEA4D41A554EDB5AE8F6CF1560AD236000F5E00B83</x:v>
      </x:c>
      <x:c r="U67" s="4" t="str">
        <x:v>source_file_is_canonical_search_text</x:v>
      </x:c>
      <x:c r="V67" s="14" t="str"/>
      <x:c r="W67" s="14" t="str">
        <x:v>local_or_non_http_locator_omitted</x:v>
      </x:c>
      <x:c r="X67" s="4" t="str">
        <x:v>recovered_transfer_20260706</x:v>
      </x:c>
      <x:c r="Y67" s="14" t="str">
        <x:v>spanish-repo-tex-body-presence; source-witness-candidate; license-gap-no-clearance; not-promoted</x:v>
      </x:c>
      <x:c r="Z67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67" s="14" t="str">
        <x:v>unresolved_no_explicit_grant</x:v>
      </x:c>
      <x:c r="AB67" s="4" t="str">
        <x:v>match</x:v>
      </x:c>
      <x:c r="AC67" s="14" t="str">
        <x:v>not_term_sense_reviewed</x:v>
      </x:c>
      <x:c r="AD67" s="4" t="str">
        <x:v>true</x:v>
      </x:c>
      <x:c r="AE67" s="4" t="str">
        <x:v>false</x:v>
      </x:c>
      <x:c r="AF67" s="4" t="str">
        <x:v>false</x:v>
      </x:c>
      <x:c r="AG67" s="14" t="str">
        <x:v>primary_unique</x:v>
      </x:c>
      <x:c r="AH67" s="25" t="str">
        <x:v>false</x:v>
      </x:c>
      <x:c r="AI67" s="4" t="str">
        <x:v>false</x:v>
      </x:c>
      <x:c r="AJ67" s="4" t="str">
        <x:v>preserved_noncounting_source_or_alias</x:v>
      </x:c>
      <x:c r="AK67" s="4" t="str">
        <x:v>false</x:v>
      </x:c>
      <x:c r="AL67" s="4" t="str">
        <x:v>false</x:v>
      </x:c>
      <x:c r="AM67" s="14" t="str"/>
      <x:c r="AN67" s="14" t="str">
        <x:v>not_declared</x:v>
      </x:c>
      <x:c r="AO67" s="4" t="str">
        <x:v>false</x:v>
      </x:c>
      <x:c r="AP67" s="14" t="str"/>
      <x:c r="AQ67" s="4" t="str"/>
    </x:row>
    <x:row r="68" ht="44" customHeight="1">
      <x:c r="A68" s="14" t="str">
        <x:v>TRANSFER-0074</x:v>
      </x:c>
      <x:c r="B68" s="14" t="str">
        <x:v>TRANSFER-ES-B-002_notas-san-salvador-outputs/source_canon_repo_text_probe/ES-B-002_notas-san-salvador/groebner/tarea-5.tex</x:v>
      </x:c>
      <x:c r="C68" s="4" t="str">
        <x:v>es</x:v>
      </x:c>
      <x:c r="D68" s="4" t="str">
        <x:v>es</x:v>
      </x:c>
      <x:c r="E68" s="14" t="str">
        <x:v>standard Spanish</x:v>
      </x:c>
      <x:c r="F68" s="4" t="str">
        <x:v>Spain and Americas</x:v>
      </x:c>
      <x:c r="G68" s="4" t="str">
        <x:v>Latn</x:v>
      </x:c>
      <x:c r="H68" s="4" t="str"/>
      <x:c r="I68" s="4" t="str"/>
      <x:c r="J68" s="4" t="str"/>
      <x:c r="K68" s="17" t="str"/>
      <x:c r="L68" s="4" t="str">
        <x:v>mathematics_mixed</x:v>
      </x:c>
      <x:c r="M68" s="4" t="str">
        <x:v>mathematics_mixed</x:v>
      </x:c>
      <x:c r="N68" s="14" t="str">
        <x:v>transfer_manifest_subject_label_not_page_topic_review</x:v>
      </x:c>
      <x:c r="O68" s="4" t="str">
        <x:v>unresolved_register</x:v>
      </x:c>
      <x:c r="P68" s="14" t="str">
        <x:v>ES-B-002_notas-san-salvador</x:v>
      </x:c>
      <x:c r="Q68" s="4" t="str">
        <x:v>tex</x:v>
      </x:c>
      <x:c r="R68" s="25" t="str">
        <x:v>18979</x:v>
      </x:c>
      <x:c r="S68" s="4" t="str">
        <x:v>5A3A1907AF5C2FCFED72FE378634AC5CA91DD660FB06F472673711B1C59B406D</x:v>
      </x:c>
      <x:c r="T68" s="4" t="str">
        <x:v>5A3A1907AF5C2FCFED72FE378634AC5CA91DD660FB06F472673711B1C59B406D</x:v>
      </x:c>
      <x:c r="U68" s="4" t="str">
        <x:v>source_file_is_canonical_search_text</x:v>
      </x:c>
      <x:c r="V68" s="14" t="str"/>
      <x:c r="W68" s="14" t="str">
        <x:v>local_or_non_http_locator_omitted</x:v>
      </x:c>
      <x:c r="X68" s="4" t="str">
        <x:v>recovered_transfer_20260706</x:v>
      </x:c>
      <x:c r="Y68" s="14" t="str">
        <x:v>spanish-repo-tex-body-presence; source-witness-candidate; license-gap-no-clearance; not-promoted</x:v>
      </x:c>
      <x:c r="Z68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68" s="14" t="str">
        <x:v>unresolved_no_explicit_grant</x:v>
      </x:c>
      <x:c r="AB68" s="4" t="str">
        <x:v>match</x:v>
      </x:c>
      <x:c r="AC68" s="14" t="str">
        <x:v>not_term_sense_reviewed</x:v>
      </x:c>
      <x:c r="AD68" s="4" t="str">
        <x:v>true</x:v>
      </x:c>
      <x:c r="AE68" s="4" t="str">
        <x:v>false</x:v>
      </x:c>
      <x:c r="AF68" s="4" t="str">
        <x:v>false</x:v>
      </x:c>
      <x:c r="AG68" s="14" t="str">
        <x:v>primary_unique</x:v>
      </x:c>
      <x:c r="AH68" s="25" t="str">
        <x:v>false</x:v>
      </x:c>
      <x:c r="AI68" s="4" t="str">
        <x:v>false</x:v>
      </x:c>
      <x:c r="AJ68" s="4" t="str">
        <x:v>preserved_noncounting_source_or_alias</x:v>
      </x:c>
      <x:c r="AK68" s="4" t="str">
        <x:v>false</x:v>
      </x:c>
      <x:c r="AL68" s="4" t="str">
        <x:v>false</x:v>
      </x:c>
      <x:c r="AM68" s="14" t="str"/>
      <x:c r="AN68" s="14" t="str">
        <x:v>not_declared</x:v>
      </x:c>
      <x:c r="AO68" s="4" t="str">
        <x:v>false</x:v>
      </x:c>
      <x:c r="AP68" s="14" t="str"/>
      <x:c r="AQ68" s="4" t="str"/>
    </x:row>
    <x:row r="69" ht="44" customHeight="1">
      <x:c r="A69" s="14" t="str">
        <x:v>TRANSFER-0075</x:v>
      </x:c>
      <x:c r="B69" s="14" t="str">
        <x:v>TRANSFER-ES-B-002_notas-san-salvador-outputs/source_canon_repo_text_probe/ES-B-002_notas-san-salvador/numeros-p-adicos/hensel.tex</x:v>
      </x:c>
      <x:c r="C69" s="4" t="str">
        <x:v>es</x:v>
      </x:c>
      <x:c r="D69" s="4" t="str">
        <x:v>es</x:v>
      </x:c>
      <x:c r="E69" s="14" t="str">
        <x:v>standard Spanish</x:v>
      </x:c>
      <x:c r="F69" s="4" t="str">
        <x:v>Spain and Americas</x:v>
      </x:c>
      <x:c r="G69" s="4" t="str">
        <x:v>Latn</x:v>
      </x:c>
      <x:c r="H69" s="4" t="str"/>
      <x:c r="I69" s="4" t="str"/>
      <x:c r="J69" s="4" t="str"/>
      <x:c r="K69" s="17" t="str"/>
      <x:c r="L69" s="4" t="str">
        <x:v>mathematics_mixed</x:v>
      </x:c>
      <x:c r="M69" s="4" t="str">
        <x:v>mathematics_mixed</x:v>
      </x:c>
      <x:c r="N69" s="14" t="str">
        <x:v>transfer_manifest_subject_label_not_page_topic_review</x:v>
      </x:c>
      <x:c r="O69" s="4" t="str">
        <x:v>unresolved_register</x:v>
      </x:c>
      <x:c r="P69" s="14" t="str">
        <x:v>ES-B-002_notas-san-salvador</x:v>
      </x:c>
      <x:c r="Q69" s="4" t="str">
        <x:v>tex</x:v>
      </x:c>
      <x:c r="R69" s="25" t="str">
        <x:v>41366</x:v>
      </x:c>
      <x:c r="S69" s="4" t="str">
        <x:v>B813529D987B4C09E410168D8135FBEB446FCC1B91830233D02F1D7236B2936D</x:v>
      </x:c>
      <x:c r="T69" s="4" t="str">
        <x:v>B813529D987B4C09E410168D8135FBEB446FCC1B91830233D02F1D7236B2936D</x:v>
      </x:c>
      <x:c r="U69" s="4" t="str">
        <x:v>source_file_is_canonical_search_text</x:v>
      </x:c>
      <x:c r="V69" s="14" t="str"/>
      <x:c r="W69" s="14" t="str">
        <x:v>local_or_non_http_locator_omitted</x:v>
      </x:c>
      <x:c r="X69" s="4" t="str">
        <x:v>recovered_transfer_20260706</x:v>
      </x:c>
      <x:c r="Y69" s="14" t="str">
        <x:v>spanish-repo-tex-body-presence; source-witness-candidate; license-gap-no-clearance; not-promoted</x:v>
      </x:c>
      <x:c r="Z69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69" s="14" t="str">
        <x:v>unresolved_no_explicit_grant</x:v>
      </x:c>
      <x:c r="AB69" s="4" t="str">
        <x:v>match</x:v>
      </x:c>
      <x:c r="AC69" s="14" t="str">
        <x:v>not_term_sense_reviewed</x:v>
      </x:c>
      <x:c r="AD69" s="4" t="str">
        <x:v>true</x:v>
      </x:c>
      <x:c r="AE69" s="4" t="str">
        <x:v>false</x:v>
      </x:c>
      <x:c r="AF69" s="4" t="str">
        <x:v>false</x:v>
      </x:c>
      <x:c r="AG69" s="14" t="str">
        <x:v>primary_unique</x:v>
      </x:c>
      <x:c r="AH69" s="25" t="str">
        <x:v>false</x:v>
      </x:c>
      <x:c r="AI69" s="4" t="str">
        <x:v>false</x:v>
      </x:c>
      <x:c r="AJ69" s="4" t="str">
        <x:v>preserved_noncounting_source_or_alias</x:v>
      </x:c>
      <x:c r="AK69" s="4" t="str">
        <x:v>false</x:v>
      </x:c>
      <x:c r="AL69" s="4" t="str">
        <x:v>false</x:v>
      </x:c>
      <x:c r="AM69" s="14" t="str"/>
      <x:c r="AN69" s="14" t="str">
        <x:v>not_declared</x:v>
      </x:c>
      <x:c r="AO69" s="4" t="str">
        <x:v>false</x:v>
      </x:c>
      <x:c r="AP69" s="14" t="str"/>
      <x:c r="AQ69" s="4" t="str"/>
    </x:row>
    <x:row r="70" ht="44" customHeight="1">
      <x:c r="A70" s="14" t="str">
        <x:v>TRANSFER-0076</x:v>
      </x:c>
      <x:c r="B70" s="14" t="str">
        <x:v>TRANSFER-ES-B-002_notas-san-salvador-outputs/source_canon_repo_text_probe/ES-B-002_notas-san-salvador/numeros-p-adicos/numeros-p-adicos.tex</x:v>
      </x:c>
      <x:c r="C70" s="4" t="str">
        <x:v>es</x:v>
      </x:c>
      <x:c r="D70" s="4" t="str">
        <x:v>es</x:v>
      </x:c>
      <x:c r="E70" s="14" t="str">
        <x:v>standard Spanish</x:v>
      </x:c>
      <x:c r="F70" s="4" t="str">
        <x:v>Spain and Americas</x:v>
      </x:c>
      <x:c r="G70" s="4" t="str">
        <x:v>Latn</x:v>
      </x:c>
      <x:c r="H70" s="4" t="str"/>
      <x:c r="I70" s="4" t="str"/>
      <x:c r="J70" s="4" t="str"/>
      <x:c r="K70" s="17" t="str"/>
      <x:c r="L70" s="4" t="str">
        <x:v>mathematics_mixed</x:v>
      </x:c>
      <x:c r="M70" s="4" t="str">
        <x:v>mathematics_mixed</x:v>
      </x:c>
      <x:c r="N70" s="14" t="str">
        <x:v>transfer_manifest_subject_label_not_page_topic_review</x:v>
      </x:c>
      <x:c r="O70" s="4" t="str">
        <x:v>unresolved_register</x:v>
      </x:c>
      <x:c r="P70" s="14" t="str">
        <x:v>ES-B-002_notas-san-salvador</x:v>
      </x:c>
      <x:c r="Q70" s="4" t="str">
        <x:v>tex</x:v>
      </x:c>
      <x:c r="R70" s="25" t="str">
        <x:v>131075</x:v>
      </x:c>
      <x:c r="S70" s="4" t="str">
        <x:v>85AC0B0F7D54447531A9F7CEE6DCB6080D8084132D6C5118B71D61317FE4352D</x:v>
      </x:c>
      <x:c r="T70" s="4" t="str">
        <x:v>85AC0B0F7D54447531A9F7CEE6DCB6080D8084132D6C5118B71D61317FE4352D</x:v>
      </x:c>
      <x:c r="U70" s="4" t="str">
        <x:v>source_file_is_canonical_search_text</x:v>
      </x:c>
      <x:c r="V70" s="14" t="str"/>
      <x:c r="W70" s="14" t="str">
        <x:v>local_or_non_http_locator_omitted</x:v>
      </x:c>
      <x:c r="X70" s="4" t="str">
        <x:v>recovered_transfer_20260706</x:v>
      </x:c>
      <x:c r="Y70" s="14" t="str">
        <x:v>spanish-repo-tex-body-presence; source-witness-candidate; license-gap-no-clearance; not-promoted</x:v>
      </x:c>
      <x:c r="Z70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70" s="14" t="str">
        <x:v>unresolved_no_explicit_grant</x:v>
      </x:c>
      <x:c r="AB70" s="4" t="str">
        <x:v>match</x:v>
      </x:c>
      <x:c r="AC70" s="14" t="str">
        <x:v>not_term_sense_reviewed</x:v>
      </x:c>
      <x:c r="AD70" s="4" t="str">
        <x:v>true</x:v>
      </x:c>
      <x:c r="AE70" s="4" t="str">
        <x:v>false</x:v>
      </x:c>
      <x:c r="AF70" s="4" t="str">
        <x:v>false</x:v>
      </x:c>
      <x:c r="AG70" s="14" t="str">
        <x:v>primary_unique</x:v>
      </x:c>
      <x:c r="AH70" s="25" t="str">
        <x:v>false</x:v>
      </x:c>
      <x:c r="AI70" s="4" t="str">
        <x:v>false</x:v>
      </x:c>
      <x:c r="AJ70" s="4" t="str">
        <x:v>preserved_noncounting_source_or_alias</x:v>
      </x:c>
      <x:c r="AK70" s="4" t="str">
        <x:v>false</x:v>
      </x:c>
      <x:c r="AL70" s="4" t="str">
        <x:v>false</x:v>
      </x:c>
      <x:c r="AM70" s="14" t="str"/>
      <x:c r="AN70" s="14" t="str">
        <x:v>not_declared</x:v>
      </x:c>
      <x:c r="AO70" s="4" t="str">
        <x:v>false</x:v>
      </x:c>
      <x:c r="AP70" s="14" t="str"/>
      <x:c r="AQ70" s="4" t="str"/>
    </x:row>
    <x:row r="71" ht="44" customHeight="1">
      <x:c r="A71" s="14" t="str">
        <x:v>TRANSFER-0077</x:v>
      </x:c>
      <x:c r="B71" s="14" t="str">
        <x:v>TRANSFER-ES-B-002_notas-san-salvador-outputs/source_canon_repo_text_probe/ES-B-002_notas-san-salvador/reciprocidad-cuadratica/reciprocidad-cuadratica.tex</x:v>
      </x:c>
      <x:c r="C71" s="4" t="str">
        <x:v>es</x:v>
      </x:c>
      <x:c r="D71" s="4" t="str">
        <x:v>es</x:v>
      </x:c>
      <x:c r="E71" s="14" t="str">
        <x:v>standard Spanish</x:v>
      </x:c>
      <x:c r="F71" s="4" t="str">
        <x:v>Spain and Americas</x:v>
      </x:c>
      <x:c r="G71" s="4" t="str">
        <x:v>Latn</x:v>
      </x:c>
      <x:c r="H71" s="4" t="str"/>
      <x:c r="I71" s="4" t="str"/>
      <x:c r="J71" s="4" t="str"/>
      <x:c r="K71" s="17" t="str"/>
      <x:c r="L71" s="4" t="str">
        <x:v>mathematics_mixed</x:v>
      </x:c>
      <x:c r="M71" s="4" t="str">
        <x:v>mathematics_mixed</x:v>
      </x:c>
      <x:c r="N71" s="14" t="str">
        <x:v>transfer_manifest_subject_label_not_page_topic_review</x:v>
      </x:c>
      <x:c r="O71" s="4" t="str">
        <x:v>unresolved_register</x:v>
      </x:c>
      <x:c r="P71" s="14" t="str">
        <x:v>ES-B-002_notas-san-salvador</x:v>
      </x:c>
      <x:c r="Q71" s="4" t="str">
        <x:v>tex</x:v>
      </x:c>
      <x:c r="R71" s="25" t="str">
        <x:v>79139</x:v>
      </x:c>
      <x:c r="S71" s="4" t="str">
        <x:v>A9FE789232C4C61D8B243E82BC9B864BAD91DA7F5988DC2E6C59D04E61A0F2BE</x:v>
      </x:c>
      <x:c r="T71" s="4" t="str">
        <x:v>A9FE789232C4C61D8B243E82BC9B864BAD91DA7F5988DC2E6C59D04E61A0F2BE</x:v>
      </x:c>
      <x:c r="U71" s="4" t="str">
        <x:v>source_file_is_canonical_search_text</x:v>
      </x:c>
      <x:c r="V71" s="14" t="str"/>
      <x:c r="W71" s="14" t="str">
        <x:v>local_or_non_http_locator_omitted</x:v>
      </x:c>
      <x:c r="X71" s="4" t="str">
        <x:v>recovered_transfer_20260706</x:v>
      </x:c>
      <x:c r="Y71" s="14" t="str">
        <x:v>spanish-repo-tex-body-presence; source-witness-candidate; license-gap-no-clearance; not-promoted</x:v>
      </x:c>
      <x:c r="Z71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71" s="14" t="str">
        <x:v>unresolved_no_explicit_grant</x:v>
      </x:c>
      <x:c r="AB71" s="4" t="str">
        <x:v>match</x:v>
      </x:c>
      <x:c r="AC71" s="14" t="str">
        <x:v>not_term_sense_reviewed</x:v>
      </x:c>
      <x:c r="AD71" s="4" t="str">
        <x:v>true</x:v>
      </x:c>
      <x:c r="AE71" s="4" t="str">
        <x:v>false</x:v>
      </x:c>
      <x:c r="AF71" s="4" t="str">
        <x:v>false</x:v>
      </x:c>
      <x:c r="AG71" s="14" t="str">
        <x:v>primary_unique</x:v>
      </x:c>
      <x:c r="AH71" s="25" t="str">
        <x:v>false</x:v>
      </x:c>
      <x:c r="AI71" s="4" t="str">
        <x:v>false</x:v>
      </x:c>
      <x:c r="AJ71" s="4" t="str">
        <x:v>preserved_noncounting_source_or_alias</x:v>
      </x:c>
      <x:c r="AK71" s="4" t="str">
        <x:v>false</x:v>
      </x:c>
      <x:c r="AL71" s="4" t="str">
        <x:v>false</x:v>
      </x:c>
      <x:c r="AM71" s="14" t="str"/>
      <x:c r="AN71" s="14" t="str">
        <x:v>not_declared</x:v>
      </x:c>
      <x:c r="AO71" s="4" t="str">
        <x:v>false</x:v>
      </x:c>
      <x:c r="AP71" s="14" t="str"/>
      <x:c r="AQ71" s="4" t="str"/>
    </x:row>
    <x:row r="72" ht="44" customHeight="1">
      <x:c r="A72" s="14" t="str">
        <x:v>TRANSFER-0078</x:v>
      </x:c>
      <x:c r="B72" s="14" t="str">
        <x:v>TRANSFER-ES-B-002_notas-san-salvador-outputs/source_canon_repo_text_probe/ES-B-002_notas-san-salvador/salvador.bib</x:v>
      </x:c>
      <x:c r="C72" s="4" t="str">
        <x:v>es</x:v>
      </x:c>
      <x:c r="D72" s="4" t="str">
        <x:v>es</x:v>
      </x:c>
      <x:c r="E72" s="14" t="str">
        <x:v>standard Spanish</x:v>
      </x:c>
      <x:c r="F72" s="4" t="str">
        <x:v>Spain and Americas</x:v>
      </x:c>
      <x:c r="G72" s="4" t="str">
        <x:v>Latn</x:v>
      </x:c>
      <x:c r="H72" s="4" t="str"/>
      <x:c r="I72" s="4" t="str"/>
      <x:c r="J72" s="4" t="str"/>
      <x:c r="K72" s="17" t="str"/>
      <x:c r="L72" s="4" t="str">
        <x:v>mathematics_mixed</x:v>
      </x:c>
      <x:c r="M72" s="4" t="str">
        <x:v>mathematics_mixed</x:v>
      </x:c>
      <x:c r="N72" s="14" t="str">
        <x:v>transfer_manifest_subject_label_not_page_topic_review</x:v>
      </x:c>
      <x:c r="O72" s="4" t="str">
        <x:v>unresolved_register</x:v>
      </x:c>
      <x:c r="P72" s="14" t="str">
        <x:v>ES-B-002_notas-san-salvador</x:v>
      </x:c>
      <x:c r="Q72" s="4" t="str">
        <x:v>bib</x:v>
      </x:c>
      <x:c r="R72" s="25" t="str">
        <x:v>37915</x:v>
      </x:c>
      <x:c r="S72" s="4" t="str">
        <x:v>C50CD59E236A8F3F0E5294BCF148943BFF23D6CC9BF6E8AB6DBE4AB9041CDC05</x:v>
      </x:c>
      <x:c r="T72" s="4" t="str">
        <x:v>C50CD59E236A8F3F0E5294BCF148943BFF23D6CC9BF6E8AB6DBE4AB9041CDC05</x:v>
      </x:c>
      <x:c r="U72" s="4" t="str">
        <x:v>source_file_is_canonical_search_text</x:v>
      </x:c>
      <x:c r="V72" s="14" t="str"/>
      <x:c r="W72" s="14" t="str">
        <x:v>local_or_non_http_locator_omitted</x:v>
      </x:c>
      <x:c r="X72" s="4" t="str">
        <x:v>recovered_transfer_20260706</x:v>
      </x:c>
      <x:c r="Y72" s="14" t="str">
        <x:v>spanish-repo-tex-body-presence; source-witness-candidate; license-gap-no-clearance; not-promoted</x:v>
      </x:c>
      <x:c r="Z72" s="14" t="str">
        <x:v>GitHub public TeX repository; GitHub API repo.license null and license endpoint 404 on 2026-07-04; local ZIP has 102 entries and no LICENSE/COPYING file; 64 text-like archive files scanned (2,022,298 bytes) with 0 repository license-grant hits, 1 third-party AMS .bst copyright notice, 3 false positives; linked cadadr teaching pages HTTP 200 with 0 rights/license hits; no license-clearance claim</x:v>
      </x:c>
      <x:c r="AA72" s="14" t="str">
        <x:v>unresolved_no_explicit_grant</x:v>
      </x:c>
      <x:c r="AB72" s="4" t="str">
        <x:v>match</x:v>
      </x:c>
      <x:c r="AC72" s="14" t="str">
        <x:v>not_term_sense_reviewed</x:v>
      </x:c>
      <x:c r="AD72" s="4" t="str">
        <x:v>true</x:v>
      </x:c>
      <x:c r="AE72" s="4" t="str">
        <x:v>false</x:v>
      </x:c>
      <x:c r="AF72" s="4" t="str">
        <x:v>false</x:v>
      </x:c>
      <x:c r="AG72" s="14" t="str">
        <x:v>primary_unique</x:v>
      </x:c>
      <x:c r="AH72" s="25" t="str">
        <x:v>false</x:v>
      </x:c>
      <x:c r="AI72" s="4" t="str">
        <x:v>false</x:v>
      </x:c>
      <x:c r="AJ72" s="4" t="str">
        <x:v>preserved_noncounting_source_or_alias</x:v>
      </x:c>
      <x:c r="AK72" s="4" t="str">
        <x:v>false</x:v>
      </x:c>
      <x:c r="AL72" s="4" t="str">
        <x:v>false</x:v>
      </x:c>
      <x:c r="AM72" s="14" t="str"/>
      <x:c r="AN72" s="14" t="str">
        <x:v>not_declared</x:v>
      </x:c>
      <x:c r="AO72" s="4" t="str">
        <x:v>false</x:v>
      </x:c>
      <x:c r="AP72" s="14" t="str"/>
      <x:c r="AQ72" s="4" t="str"/>
    </x:row>
    <x:row r="73" ht="44" customHeight="1">
      <x:c r="A73" s="14" t="str">
        <x:v>TRANSFER-0016</x:v>
      </x:c>
      <x:c r="B73" s="14" t="str">
        <x:v>TRANSFER-generated-draft-french-sufficient-rows-20260705-language-source-bodies/romance-germanic-baselines/generated-draft/french_spanish_scoped_draft_support/NOETHER_ROMANCE_FRENCH_SCOPED_DRAFT_SUPPORT_generated-draft.csv</x:v>
      </x:c>
      <x:c r="C73" s="4" t="str">
        <x:v>fr</x:v>
      </x:c>
      <x:c r="D73" s="4" t="str">
        <x:v>fr</x:v>
      </x:c>
      <x:c r="E73" s="14" t="str">
        <x:v>standard French</x:v>
      </x:c>
      <x:c r="F73" s="4" t="str">
        <x:v>France and Francophonie</x:v>
      </x:c>
      <x:c r="G73" s="4" t="str">
        <x:v>Latn</x:v>
      </x:c>
      <x:c r="H73" s="4" t="str"/>
      <x:c r="I73" s="4" t="str"/>
      <x:c r="J73" s="4" t="str"/>
      <x:c r="K73" s="17" t="str"/>
      <x:c r="L73" s="4" t="str">
        <x:v>mathematics_mixed</x:v>
      </x:c>
      <x:c r="M73" s="4" t="str">
        <x:v>mathematics_mixed</x:v>
      </x:c>
      <x:c r="N73" s="14" t="str">
        <x:v>transfer_manifest_subject_label_not_page_topic_review</x:v>
      </x:c>
      <x:c r="O73" s="4" t="str">
        <x:v>unresolved_register</x:v>
      </x:c>
      <x:c r="P73" s="14" t="str">
        <x:v>generated-draft-french-sufficient-rows-20260705</x:v>
      </x:c>
      <x:c r="Q73" s="4" t="str">
        <x:v>csv</x:v>
      </x:c>
      <x:c r="R73" s="25" t="str">
        <x:v>19530</x:v>
      </x:c>
      <x:c r="S73" s="4" t="str">
        <x:v>D17EB125AA5EC888075EAFF2BC08F96F2E4F76FA941F522F2965808BFA136670</x:v>
      </x:c>
      <x:c r="T73" s="4" t="str">
        <x:v>D17EB125AA5EC888075EAFF2BC08F96F2E4F76FA941F522F2965808BFA136670</x:v>
      </x:c>
      <x:c r="U73" s="4" t="str">
        <x:v>source_file_is_canonical_search_text</x:v>
      </x:c>
      <x:c r="V73" s="14" t="str"/>
      <x:c r="W73" s="14" t="str">
        <x:v>local_or_non_http_locator_omitted</x:v>
      </x:c>
      <x:c r="X73" s="4" t="str">
        <x:v>recovered_transfer_20260706</x:v>
      </x:c>
      <x:c r="Y73" s="14" t="str">
        <x:v>generated-draft</x:v>
      </x:c>
      <x:c r="Z73" s="14" t="str">
        <x:v>project generated draft; no native-review, approval, or license-clearance claim</x:v>
      </x:c>
      <x:c r="AA73" s="14" t="str">
        <x:v>generated_artifact_not_native_source</x:v>
      </x:c>
      <x:c r="AB73" s="4" t="str">
        <x:v>match</x:v>
      </x:c>
      <x:c r="AC73" s="14" t="str">
        <x:v>not_term_sense_reviewed</x:v>
      </x:c>
      <x:c r="AD73" s="4" t="str">
        <x:v>true</x:v>
      </x:c>
      <x:c r="AE73" s="4" t="str">
        <x:v>false</x:v>
      </x:c>
      <x:c r="AF73" s="4" t="str">
        <x:v>true</x:v>
      </x:c>
      <x:c r="AG73" s="14" t="str">
        <x:v>primary_unique</x:v>
      </x:c>
      <x:c r="AH73" s="25" t="str">
        <x:v>false</x:v>
      </x:c>
      <x:c r="AI73" s="4" t="str">
        <x:v>false</x:v>
      </x:c>
      <x:c r="AJ73" s="4" t="str">
        <x:v>generated_auxiliary</x:v>
      </x:c>
      <x:c r="AK73" s="4" t="str">
        <x:v>false</x:v>
      </x:c>
      <x:c r="AL73" s="4" t="str">
        <x:v>false</x:v>
      </x:c>
      <x:c r="AM73" s="14" t="str"/>
      <x:c r="AN73" s="14" t="str">
        <x:v>not_declared</x:v>
      </x:c>
      <x:c r="AO73" s="4" t="str">
        <x:v>false</x:v>
      </x:c>
      <x:c r="AP73" s="14" t="str"/>
      <x:c r="AQ73" s="4" t="str"/>
    </x:row>
    <x:row r="74" ht="44" customHeight="1">
      <x:c r="A74" s="14" t="str">
        <x:v>TRANSFER-0020</x:v>
      </x:c>
      <x:c r="B74" s="14" t="str">
        <x:v>TRANSFER-generated-draft-romance-scoped-rows-20260705-language-source-bodies/romance-germanic-baselines/generated-draft/french_spanish_scoped_draft_support/NOETHER_ROMANCE_SUFFICIENCY_TRANSITION_SCOPED_DRAFT_ROWS_20260705.generated-draft.csv</x:v>
      </x:c>
      <x:c r="C74" s="4" t="str">
        <x:v>fr_es</x:v>
      </x:c>
      <x:c r="D74" s="4" t="str">
        <x:v>fr-es-generated</x:v>
      </x:c>
      <x:c r="E74" s="14" t="str">
        <x:v>generated French/Spanish support layer</x:v>
      </x:c>
      <x:c r="F74" s="4" t="str">
        <x:v>generated comparator</x:v>
      </x:c>
      <x:c r="G74" s="4" t="str">
        <x:v>Latn</x:v>
      </x:c>
      <x:c r="H74" s="4" t="str"/>
      <x:c r="I74" s="4" t="str"/>
      <x:c r="J74" s="4" t="str"/>
      <x:c r="K74" s="17" t="str"/>
      <x:c r="L74" s="4" t="str">
        <x:v>mathematics_mixed</x:v>
      </x:c>
      <x:c r="M74" s="4" t="str">
        <x:v>mathematics_mixed</x:v>
      </x:c>
      <x:c r="N74" s="14" t="str">
        <x:v>transfer_manifest_subject_label_not_page_topic_review</x:v>
      </x:c>
      <x:c r="O74" s="4" t="str">
        <x:v>unresolved_register</x:v>
      </x:c>
      <x:c r="P74" s="14" t="str">
        <x:v>generated-draft-romance-scoped-rows-20260705</x:v>
      </x:c>
      <x:c r="Q74" s="4" t="str">
        <x:v>csv</x:v>
      </x:c>
      <x:c r="R74" s="25" t="str">
        <x:v>42701</x:v>
      </x:c>
      <x:c r="S74" s="4" t="str">
        <x:v>CD735B7DC26821ACA2947807253FDDF40436C6C11666B23E506ABB88C4DFC379</x:v>
      </x:c>
      <x:c r="T74" s="4" t="str">
        <x:v>CD735B7DC26821ACA2947807253FDDF40436C6C11666B23E506ABB88C4DFC379</x:v>
      </x:c>
      <x:c r="U74" s="4" t="str">
        <x:v>source_file_is_canonical_search_text</x:v>
      </x:c>
      <x:c r="V74" s="14" t="str"/>
      <x:c r="W74" s="14" t="str">
        <x:v>local_or_non_http_locator_omitted</x:v>
      </x:c>
      <x:c r="X74" s="4" t="str">
        <x:v>recovered_transfer_20260706</x:v>
      </x:c>
      <x:c r="Y74" s="14" t="str">
        <x:v>generated-draft</x:v>
      </x:c>
      <x:c r="Z74" s="14" t="str">
        <x:v>project generated draft; no native-review, approval, or license-clearance claim</x:v>
      </x:c>
      <x:c r="AA74" s="14" t="str">
        <x:v>generated_artifact_not_native_source</x:v>
      </x:c>
      <x:c r="AB74" s="4" t="str">
        <x:v>match</x:v>
      </x:c>
      <x:c r="AC74" s="14" t="str">
        <x:v>not_term_sense_reviewed</x:v>
      </x:c>
      <x:c r="AD74" s="4" t="str">
        <x:v>true</x:v>
      </x:c>
      <x:c r="AE74" s="4" t="str">
        <x:v>false</x:v>
      </x:c>
      <x:c r="AF74" s="4" t="str">
        <x:v>true</x:v>
      </x:c>
      <x:c r="AG74" s="14" t="str">
        <x:v>primary_unique</x:v>
      </x:c>
      <x:c r="AH74" s="25" t="str">
        <x:v>false</x:v>
      </x:c>
      <x:c r="AI74" s="4" t="str">
        <x:v>false</x:v>
      </x:c>
      <x:c r="AJ74" s="4" t="str">
        <x:v>generated_auxiliary</x:v>
      </x:c>
      <x:c r="AK74" s="4" t="str">
        <x:v>false</x:v>
      </x:c>
      <x:c r="AL74" s="4" t="str">
        <x:v>false</x:v>
      </x:c>
      <x:c r="AM74" s="14" t="str"/>
      <x:c r="AN74" s="14" t="str">
        <x:v>not_declared</x:v>
      </x:c>
      <x:c r="AO74" s="4" t="str">
        <x:v>false</x:v>
      </x:c>
      <x:c r="AP74" s="14" t="str"/>
      <x:c r="AQ74" s="4" t="str"/>
    </x:row>
    <x:row r="75" ht="44" customHeight="1">
      <x:c r="A75" s="14" t="str">
        <x:v>TRANSFER-0028</x:v>
      </x:c>
      <x:c r="B75" s="14" t="str">
        <x:v>TRANSFER-generated-draft-spanish-sufficient-rows-20260705-language-source-bodies/romance-germanic-baselines/generated-draft/french_spanish_scoped_draft_support/NOETHER_ROMANCE_SPANISH_SCOPED_DRAFT_SUPPORT_generated-draft.csv</x:v>
      </x:c>
      <x:c r="C75" s="4" t="str">
        <x:v>es</x:v>
      </x:c>
      <x:c r="D75" s="4" t="str">
        <x:v>es</x:v>
      </x:c>
      <x:c r="E75" s="14" t="str">
        <x:v>standard Spanish</x:v>
      </x:c>
      <x:c r="F75" s="4" t="str">
        <x:v>Spain and Americas</x:v>
      </x:c>
      <x:c r="G75" s="4" t="str">
        <x:v>Latn</x:v>
      </x:c>
      <x:c r="H75" s="4" t="str"/>
      <x:c r="I75" s="4" t="str"/>
      <x:c r="J75" s="4" t="str"/>
      <x:c r="K75" s="17" t="str"/>
      <x:c r="L75" s="4" t="str">
        <x:v>mathematics_mixed</x:v>
      </x:c>
      <x:c r="M75" s="4" t="str">
        <x:v>mathematics_mixed</x:v>
      </x:c>
      <x:c r="N75" s="14" t="str">
        <x:v>transfer_manifest_subject_label_not_page_topic_review</x:v>
      </x:c>
      <x:c r="O75" s="4" t="str">
        <x:v>unresolved_register</x:v>
      </x:c>
      <x:c r="P75" s="14" t="str">
        <x:v>generated-draft-spanish-sufficient-rows-20260705</x:v>
      </x:c>
      <x:c r="Q75" s="4" t="str">
        <x:v>csv</x:v>
      </x:c>
      <x:c r="R75" s="25" t="str">
        <x:v>23622</x:v>
      </x:c>
      <x:c r="S75" s="4" t="str">
        <x:v>7E21BFA7FB7CAFC1FC952809E925712215BA7730D396681595FA4B614F1778A6</x:v>
      </x:c>
      <x:c r="T75" s="4" t="str">
        <x:v>7E21BFA7FB7CAFC1FC952809E925712215BA7730D396681595FA4B614F1778A6</x:v>
      </x:c>
      <x:c r="U75" s="4" t="str">
        <x:v>source_file_is_canonical_search_text</x:v>
      </x:c>
      <x:c r="V75" s="14" t="str"/>
      <x:c r="W75" s="14" t="str">
        <x:v>local_or_non_http_locator_omitted</x:v>
      </x:c>
      <x:c r="X75" s="4" t="str">
        <x:v>recovered_transfer_20260706</x:v>
      </x:c>
      <x:c r="Y75" s="14" t="str">
        <x:v>generated-draft</x:v>
      </x:c>
      <x:c r="Z75" s="14" t="str">
        <x:v>project generated draft; no native-review, approval, or license-clearance claim</x:v>
      </x:c>
      <x:c r="AA75" s="14" t="str">
        <x:v>generated_artifact_not_native_source</x:v>
      </x:c>
      <x:c r="AB75" s="4" t="str">
        <x:v>match</x:v>
      </x:c>
      <x:c r="AC75" s="14" t="str">
        <x:v>not_term_sense_reviewed</x:v>
      </x:c>
      <x:c r="AD75" s="4" t="str">
        <x:v>true</x:v>
      </x:c>
      <x:c r="AE75" s="4" t="str">
        <x:v>false</x:v>
      </x:c>
      <x:c r="AF75" s="4" t="str">
        <x:v>true</x:v>
      </x:c>
      <x:c r="AG75" s="14" t="str">
        <x:v>primary_unique</x:v>
      </x:c>
      <x:c r="AH75" s="25" t="str">
        <x:v>false</x:v>
      </x:c>
      <x:c r="AI75" s="4" t="str">
        <x:v>false</x:v>
      </x:c>
      <x:c r="AJ75" s="4" t="str">
        <x:v>generated_auxiliary</x:v>
      </x:c>
      <x:c r="AK75" s="4" t="str">
        <x:v>false</x:v>
      </x:c>
      <x:c r="AL75" s="4" t="str">
        <x:v>false</x:v>
      </x:c>
      <x:c r="AM75" s="14" t="str"/>
      <x:c r="AN75" s="14" t="str">
        <x:v>not_declared</x:v>
      </x:c>
      <x:c r="AO75" s="4" t="str">
        <x:v>false</x:v>
      </x:c>
      <x:c r="AP75" s="14" t="str"/>
      <x:c r="AQ75" s="4" t="str"/>
    </x:row>
    <x:row r="76" ht="44" customHeight="1">
      <x:c r="A76" s="14" t="str">
        <x:v>TRANSFER-0017</x:v>
      </x:c>
      <x:c r="B76" s="14" t="str">
        <x:v>TRANSFER-generated-draft-support-NOETHER_ROMANCE_ACTIVE_WORK_WAKEUP_ROW_BUCKETS_20260705-language-source-bodies/romance-germanic-baselines/generated-draft/french_spanish_scoped_draft_support/NOETHER_ROMANCE_ACTIVE_WORK_WAKEUP_ROW_BUCKETS_20260705.csv</x:v>
      </x:c>
      <x:c r="C76" s="4" t="str">
        <x:v>fr_es</x:v>
      </x:c>
      <x:c r="D76" s="4" t="str">
        <x:v>fr-es-generated</x:v>
      </x:c>
      <x:c r="E76" s="14" t="str">
        <x:v>generated French/Spanish support layer</x:v>
      </x:c>
      <x:c r="F76" s="4" t="str">
        <x:v>generated comparator</x:v>
      </x:c>
      <x:c r="G76" s="4" t="str">
        <x:v>Latn</x:v>
      </x:c>
      <x:c r="H76" s="4" t="str"/>
      <x:c r="I76" s="4" t="str"/>
      <x:c r="J76" s="4" t="str"/>
      <x:c r="K76" s="17" t="str"/>
      <x:c r="L76" s="4" t="str">
        <x:v>mathematics_mixed</x:v>
      </x:c>
      <x:c r="M76" s="4" t="str">
        <x:v>mathematics_mixed</x:v>
      </x:c>
      <x:c r="N76" s="14" t="str">
        <x:v>transfer_manifest_subject_label_not_page_topic_review</x:v>
      </x:c>
      <x:c r="O76" s="4" t="str">
        <x:v>unresolved_register</x:v>
      </x:c>
      <x:c r="P76" s="14" t="str">
        <x:v>generated-draft-support-NOETHER_ROMANCE_ACTIVE_WORK_WAKEUP_ROW_BUCKETS_20260705</x:v>
      </x:c>
      <x:c r="Q76" s="4" t="str">
        <x:v>csv</x:v>
      </x:c>
      <x:c r="R76" s="25" t="str">
        <x:v>56456</x:v>
      </x:c>
      <x:c r="S76" s="4" t="str">
        <x:v>426EB25CB3BD863A0B7DFA3FFB3EC9C41D3E40B0405F4945D224BD9B8D9AC914</x:v>
      </x:c>
      <x:c r="T76" s="4" t="str">
        <x:v>426EB25CB3BD863A0B7DFA3FFB3EC9C41D3E40B0405F4945D224BD9B8D9AC914</x:v>
      </x:c>
      <x:c r="U76" s="4" t="str">
        <x:v>source_file_is_canonical_search_text</x:v>
      </x:c>
      <x:c r="V76" s="14" t="str"/>
      <x:c r="W76" s="14" t="str">
        <x:v>local_or_non_http_locator_omitted</x:v>
      </x:c>
      <x:c r="X76" s="4" t="str">
        <x:v>recovered_transfer_20260706</x:v>
      </x:c>
      <x:c r="Y76" s="14" t="str">
        <x:v>generated-draft</x:v>
      </x:c>
      <x:c r="Z76" s="14" t="str">
        <x:v>project generated draft; no native-review, approval, or license-clearance claim</x:v>
      </x:c>
      <x:c r="AA76" s="14" t="str">
        <x:v>generated_artifact_not_native_source</x:v>
      </x:c>
      <x:c r="AB76" s="4" t="str">
        <x:v>match</x:v>
      </x:c>
      <x:c r="AC76" s="14" t="str">
        <x:v>not_term_sense_reviewed</x:v>
      </x:c>
      <x:c r="AD76" s="4" t="str">
        <x:v>true</x:v>
      </x:c>
      <x:c r="AE76" s="4" t="str">
        <x:v>false</x:v>
      </x:c>
      <x:c r="AF76" s="4" t="str">
        <x:v>true</x:v>
      </x:c>
      <x:c r="AG76" s="14" t="str">
        <x:v>primary_unique</x:v>
      </x:c>
      <x:c r="AH76" s="25" t="str">
        <x:v>false</x:v>
      </x:c>
      <x:c r="AI76" s="4" t="str">
        <x:v>false</x:v>
      </x:c>
      <x:c r="AJ76" s="4" t="str">
        <x:v>generated_auxiliary</x:v>
      </x:c>
      <x:c r="AK76" s="4" t="str">
        <x:v>false</x:v>
      </x:c>
      <x:c r="AL76" s="4" t="str">
        <x:v>false</x:v>
      </x:c>
      <x:c r="AM76" s="14" t="str"/>
      <x:c r="AN76" s="14" t="str">
        <x:v>not_declared</x:v>
      </x:c>
      <x:c r="AO76" s="4" t="str">
        <x:v>false</x:v>
      </x:c>
      <x:c r="AP76" s="14" t="str"/>
      <x:c r="AQ76" s="4" t="str"/>
    </x:row>
    <x:row r="77" ht="44" customHeight="1">
      <x:c r="A77" s="14" t="str">
        <x:v>TRANSFER-0018</x:v>
      </x:c>
      <x:c r="B77" s="14" t="str">
        <x:v>TRANSFER-generated-draft-support-NOETHER_ROMANCE_ACTIVE_WORK_WAKEUP_ROW_BUCKETS_AND_ACTIONS_20260705-language-source-bodies/romance-germanic-baselines/generated-draft/french_spanish_scoped_draft_support/NOETHER_ROMANCE_ACTIVE_WORK_WAKEUP_ROW_BUCKETS_AND_ACTIONS_20260705.md</x:v>
      </x:c>
      <x:c r="C77" s="4" t="str">
        <x:v>fr_es</x:v>
      </x:c>
      <x:c r="D77" s="4" t="str">
        <x:v>fr-es-generated</x:v>
      </x:c>
      <x:c r="E77" s="14" t="str">
        <x:v>generated French/Spanish support layer</x:v>
      </x:c>
      <x:c r="F77" s="4" t="str">
        <x:v>generated comparator</x:v>
      </x:c>
      <x:c r="G77" s="4" t="str">
        <x:v>Latn</x:v>
      </x:c>
      <x:c r="H77" s="4" t="str"/>
      <x:c r="I77" s="4" t="str"/>
      <x:c r="J77" s="4" t="str"/>
      <x:c r="K77" s="17" t="str"/>
      <x:c r="L77" s="4" t="str">
        <x:v>mathematics_mixed</x:v>
      </x:c>
      <x:c r="M77" s="4" t="str">
        <x:v>mathematics_mixed</x:v>
      </x:c>
      <x:c r="N77" s="14" t="str">
        <x:v>transfer_manifest_subject_label_not_page_topic_review</x:v>
      </x:c>
      <x:c r="O77" s="4" t="str">
        <x:v>unresolved_register</x:v>
      </x:c>
      <x:c r="P77" s="14" t="str">
        <x:v>generated-draft-support-NOETHER_ROMANCE_ACTIVE_WORK_WAKEUP_ROW_BUCKETS_AND_ACTIONS_20260705</x:v>
      </x:c>
      <x:c r="Q77" s="4" t="str">
        <x:v>md</x:v>
      </x:c>
      <x:c r="R77" s="25" t="str">
        <x:v>5116</x:v>
      </x:c>
      <x:c r="S77" s="4" t="str">
        <x:v>3B7BCD4EA221A546970EBFD560619279549D320B6F38187D23D44FDD378B1B6D</x:v>
      </x:c>
      <x:c r="T77" s="4" t="str">
        <x:v>3B7BCD4EA221A546970EBFD560619279549D320B6F38187D23D44FDD378B1B6D</x:v>
      </x:c>
      <x:c r="U77" s="4" t="str">
        <x:v>source_file_is_canonical_search_text</x:v>
      </x:c>
      <x:c r="V77" s="14" t="str"/>
      <x:c r="W77" s="14" t="str">
        <x:v>local_or_non_http_locator_omitted</x:v>
      </x:c>
      <x:c r="X77" s="4" t="str">
        <x:v>recovered_transfer_20260706</x:v>
      </x:c>
      <x:c r="Y77" s="14" t="str">
        <x:v>generated-draft</x:v>
      </x:c>
      <x:c r="Z77" s="14" t="str">
        <x:v>project generated draft; no native-review, approval, or license-clearance claim</x:v>
      </x:c>
      <x:c r="AA77" s="14" t="str">
        <x:v>generated_artifact_not_native_source</x:v>
      </x:c>
      <x:c r="AB77" s="4" t="str">
        <x:v>match</x:v>
      </x:c>
      <x:c r="AC77" s="14" t="str">
        <x:v>not_term_sense_reviewed</x:v>
      </x:c>
      <x:c r="AD77" s="4" t="str">
        <x:v>true</x:v>
      </x:c>
      <x:c r="AE77" s="4" t="str">
        <x:v>false</x:v>
      </x:c>
      <x:c r="AF77" s="4" t="str">
        <x:v>true</x:v>
      </x:c>
      <x:c r="AG77" s="14" t="str">
        <x:v>primary_unique</x:v>
      </x:c>
      <x:c r="AH77" s="25" t="str">
        <x:v>false</x:v>
      </x:c>
      <x:c r="AI77" s="4" t="str">
        <x:v>false</x:v>
      </x:c>
      <x:c r="AJ77" s="4" t="str">
        <x:v>generated_auxiliary</x:v>
      </x:c>
      <x:c r="AK77" s="4" t="str">
        <x:v>false</x:v>
      </x:c>
      <x:c r="AL77" s="4" t="str">
        <x:v>false</x:v>
      </x:c>
      <x:c r="AM77" s="14" t="str"/>
      <x:c r="AN77" s="14" t="str">
        <x:v>not_declared</x:v>
      </x:c>
      <x:c r="AO77" s="4" t="str">
        <x:v>false</x:v>
      </x:c>
      <x:c r="AP77" s="14" t="str"/>
      <x:c r="AQ77" s="4" t="str"/>
    </x:row>
    <x:row r="78" ht="44" customHeight="1">
      <x:c r="A78" s="14" t="str">
        <x:v>TRANSFER-0019</x:v>
      </x:c>
      <x:c r="B78" s="14" t="str">
        <x:v>TRANSFER-generated-draft-support-NOETHER_ROMANCE_ACTIVE_WORK_WAKEUP_TENSOR_SOURCE_ACQUISITION_20260705-language-source-bodies/romance-germanic-baselines/generated-draft/french_spanish_scoped_draft_support/NOETHER_ROMANCE_ACTIVE_WORK_WAKEUP_TENSOR_SOURCE_ACQUISITION_20260705.csv</x:v>
      </x:c>
      <x:c r="C78" s="4" t="str">
        <x:v>fr_es</x:v>
      </x:c>
      <x:c r="D78" s="4" t="str">
        <x:v>fr-es-generated</x:v>
      </x:c>
      <x:c r="E78" s="14" t="str">
        <x:v>generated French/Spanish support layer</x:v>
      </x:c>
      <x:c r="F78" s="4" t="str">
        <x:v>generated comparator</x:v>
      </x:c>
      <x:c r="G78" s="4" t="str">
        <x:v>Latn</x:v>
      </x:c>
      <x:c r="H78" s="4" t="str"/>
      <x:c r="I78" s="4" t="str"/>
      <x:c r="J78" s="4" t="str"/>
      <x:c r="K78" s="17" t="str"/>
      <x:c r="L78" s="4" t="str">
        <x:v>mathematics_mixed</x:v>
      </x:c>
      <x:c r="M78" s="4" t="str">
        <x:v>mathematics_mixed</x:v>
      </x:c>
      <x:c r="N78" s="14" t="str">
        <x:v>transfer_manifest_subject_label_not_page_topic_review</x:v>
      </x:c>
      <x:c r="O78" s="4" t="str">
        <x:v>unresolved_register</x:v>
      </x:c>
      <x:c r="P78" s="14" t="str">
        <x:v>generated-draft-support-NOETHER_ROMANCE_ACTIVE_WORK_WAKEUP_TENSOR_SOURCE_ACQUISITION_20260705</x:v>
      </x:c>
      <x:c r="Q78" s="4" t="str">
        <x:v>csv</x:v>
      </x:c>
      <x:c r="R78" s="25" t="str">
        <x:v>14484</x:v>
      </x:c>
      <x:c r="S78" s="4" t="str">
        <x:v>C8AA1CDD78B41EDCD27429DE57BECE3B9B1284E5F7CCDAF021181B80F6E014C6</x:v>
      </x:c>
      <x:c r="T78" s="4" t="str">
        <x:v>C8AA1CDD78B41EDCD27429DE57BECE3B9B1284E5F7CCDAF021181B80F6E014C6</x:v>
      </x:c>
      <x:c r="U78" s="4" t="str">
        <x:v>source_file_is_canonical_search_text</x:v>
      </x:c>
      <x:c r="V78" s="14" t="str"/>
      <x:c r="W78" s="14" t="str">
        <x:v>local_or_non_http_locator_omitted</x:v>
      </x:c>
      <x:c r="X78" s="4" t="str">
        <x:v>recovered_transfer_20260706</x:v>
      </x:c>
      <x:c r="Y78" s="14" t="str">
        <x:v>generated-draft</x:v>
      </x:c>
      <x:c r="Z78" s="14" t="str">
        <x:v>project generated draft; no native-review, approval, or license-clearance claim</x:v>
      </x:c>
      <x:c r="AA78" s="14" t="str">
        <x:v>generated_artifact_not_native_source</x:v>
      </x:c>
      <x:c r="AB78" s="4" t="str">
        <x:v>match</x:v>
      </x:c>
      <x:c r="AC78" s="14" t="str">
        <x:v>not_term_sense_reviewed</x:v>
      </x:c>
      <x:c r="AD78" s="4" t="str">
        <x:v>true</x:v>
      </x:c>
      <x:c r="AE78" s="4" t="str">
        <x:v>false</x:v>
      </x:c>
      <x:c r="AF78" s="4" t="str">
        <x:v>true</x:v>
      </x:c>
      <x:c r="AG78" s="14" t="str">
        <x:v>primary_unique</x:v>
      </x:c>
      <x:c r="AH78" s="25" t="str">
        <x:v>false</x:v>
      </x:c>
      <x:c r="AI78" s="4" t="str">
        <x:v>false</x:v>
      </x:c>
      <x:c r="AJ78" s="4" t="str">
        <x:v>generated_auxiliary</x:v>
      </x:c>
      <x:c r="AK78" s="4" t="str">
        <x:v>false</x:v>
      </x:c>
      <x:c r="AL78" s="4" t="str">
        <x:v>false</x:v>
      </x:c>
      <x:c r="AM78" s="14" t="str"/>
      <x:c r="AN78" s="14" t="str">
        <x:v>not_declared</x:v>
      </x:c>
      <x:c r="AO78" s="4" t="str">
        <x:v>false</x:v>
      </x:c>
      <x:c r="AP78" s="14" t="str"/>
      <x:c r="AQ78" s="4" t="str"/>
    </x:row>
    <x:row r="79" ht="44" customHeight="1">
      <x:c r="A79" s="14" t="str">
        <x:v>TRANSFER-0021</x:v>
      </x:c>
      <x:c r="B79" s="14" t="str">
        <x:v>TRANSFER-hexwell_university_notes/it/algebra/forigo/algebra.tex-language-source-bodies/romance-germanic-baselines/bodies/italian/hexwell_university_notes/hexwell_university_notes_it_algebra_forigo_algebra.tex_algebra.tex</x:v>
      </x:c>
      <x:c r="C79" s="4" t="str">
        <x:v>it</x:v>
      </x:c>
      <x:c r="D79" s="4" t="str">
        <x:v>it</x:v>
      </x:c>
      <x:c r="E79" s="14" t="str">
        <x:v>standard Italian</x:v>
      </x:c>
      <x:c r="F79" s="4" t="str">
        <x:v>Italy and Switzerland</x:v>
      </x:c>
      <x:c r="G79" s="4" t="str">
        <x:v>Latn</x:v>
      </x:c>
      <x:c r="H79" s="4" t="str"/>
      <x:c r="I79" s="4" t="str"/>
      <x:c r="J79" s="4" t="str"/>
      <x:c r="K79" s="17" t="str"/>
      <x:c r="L79" s="4" t="str">
        <x:v>abstract_algebra</x:v>
      </x:c>
      <x:c r="M79" s="4" t="str">
        <x:v>abstract_algebra</x:v>
      </x:c>
      <x:c r="N79" s="14" t="str">
        <x:v>transfer_manifest_subject_label_not_page_topic_review</x:v>
      </x:c>
      <x:c r="O79" s="4" t="str">
        <x:v>unresolved_register</x:v>
      </x:c>
      <x:c r="P79" s="14" t="str">
        <x:v>hexwell_university_notes/it/algebra/forigo/algebra.tex</x:v>
      </x:c>
      <x:c r="Q79" s="4" t="str">
        <x:v>tex</x:v>
      </x:c>
      <x:c r="R79" s="25" t="str">
        <x:v>54946</x:v>
      </x:c>
      <x:c r="S79" s="4" t="str">
        <x:v>A1DB1D48D3C1A5AAE7426E8218D7EDB93A49CDD7297F61A861EDA292CEFD829E</x:v>
      </x:c>
      <x:c r="T79" s="4" t="str">
        <x:v>A1DB1D48D3C1A5AAE7426E8218D7EDB93A49CDD7297F61A861EDA292CEFD829E</x:v>
      </x:c>
      <x:c r="U79" s="4" t="str">
        <x:v>source_file_is_canonical_search_text</x:v>
      </x:c>
      <x:c r="V79" s="14" t="str"/>
      <x:c r="W79" s="14" t="str">
        <x:v>local_or_non_http_locator_omitted</x:v>
      </x:c>
      <x:c r="X79" s="4" t="str">
        <x:v>recovered_transfer_20260706</x:v>
      </x:c>
      <x:c r="Y79" s="14" t="str">
        <x:v>native-source-body</x:v>
      </x:c>
      <x:c r="Z79" s="14" t="str">
        <x:v>no explicit license file detected at downloaded archive root; no license-clearance claim</x:v>
      </x:c>
      <x:c r="AA79" s="14" t="str">
        <x:v>unresolved_no_explicit_grant</x:v>
      </x:c>
      <x:c r="AB79" s="4" t="str">
        <x:v>match</x:v>
      </x:c>
      <x:c r="AC79" s="14" t="str">
        <x:v>not_term_sense_reviewed</x:v>
      </x:c>
      <x:c r="AD79" s="4" t="str">
        <x:v>true</x:v>
      </x:c>
      <x:c r="AE79" s="4" t="str">
        <x:v>true</x:v>
      </x:c>
      <x:c r="AF79" s="4" t="str">
        <x:v>false</x:v>
      </x:c>
      <x:c r="AG79" s="14" t="str">
        <x:v>primary_unique</x:v>
      </x:c>
      <x:c r="AH79" s="25" t="str">
        <x:v>true</x:v>
      </x:c>
      <x:c r="AI79" s="4" t="str">
        <x:v>false</x:v>
      </x:c>
      <x:c r="AJ79" s="4" t="str">
        <x:v>active_source_body</x:v>
      </x:c>
      <x:c r="AK79" s="4" t="str">
        <x:v>true</x:v>
      </x:c>
      <x:c r="AL79" s="4" t="str">
        <x:v>false</x:v>
      </x:c>
      <x:c r="AM79" s="14" t="str"/>
      <x:c r="AN79" s="14" t="str">
        <x:v>not_declared</x:v>
      </x:c>
      <x:c r="AO79" s="4" t="str">
        <x:v>true</x:v>
      </x:c>
      <x:c r="AP79" s="14" t="str"/>
      <x:c r="AQ79" s="4" t="str"/>
    </x:row>
    <x:row r="80" ht="44" customHeight="1">
      <x:c r="A80" s="14" t="str">
        <x:v>TRANSFER-0022</x:v>
      </x:c>
      <x:c r="B80" s="14" t="str">
        <x:v>TRANSFER-hexwell_university_notes/it/analisi1/analisi.tex-language-source-bodies/romance-germanic-baselines/bodies/italian/hexwell_university_notes/hexwell_university_notes_it_analisi1_analisi.tex_analisi.tex</x:v>
      </x:c>
      <x:c r="C80" s="4" t="str">
        <x:v>it</x:v>
      </x:c>
      <x:c r="D80" s="4" t="str">
        <x:v>it</x:v>
      </x:c>
      <x:c r="E80" s="14" t="str">
        <x:v>standard Italian</x:v>
      </x:c>
      <x:c r="F80" s="4" t="str">
        <x:v>Italy and Switzerland</x:v>
      </x:c>
      <x:c r="G80" s="4" t="str">
        <x:v>Latn</x:v>
      </x:c>
      <x:c r="H80" s="4" t="str"/>
      <x:c r="I80" s="4" t="str"/>
      <x:c r="J80" s="4" t="str"/>
      <x:c r="K80" s="17" t="str"/>
      <x:c r="L80" s="4" t="str">
        <x:v>analysis</x:v>
      </x:c>
      <x:c r="M80" s="4" t="str">
        <x:v>analysis</x:v>
      </x:c>
      <x:c r="N80" s="14" t="str">
        <x:v>transfer_manifest_subject_label_not_page_topic_review</x:v>
      </x:c>
      <x:c r="O80" s="4" t="str">
        <x:v>unresolved_register</x:v>
      </x:c>
      <x:c r="P80" s="14" t="str">
        <x:v>hexwell_university_notes/it/analisi1/analisi.tex</x:v>
      </x:c>
      <x:c r="Q80" s="4" t="str">
        <x:v>tex</x:v>
      </x:c>
      <x:c r="R80" s="25" t="str">
        <x:v>37049</x:v>
      </x:c>
      <x:c r="S80" s="4" t="str">
        <x:v>8186F77B0B0B05762CFF120E0292BEE283439B63EF2CC666F8B6539670B4A829</x:v>
      </x:c>
      <x:c r="T80" s="4" t="str">
        <x:v>8186F77B0B0B05762CFF120E0292BEE283439B63EF2CC666F8B6539670B4A829</x:v>
      </x:c>
      <x:c r="U80" s="4" t="str">
        <x:v>source_file_is_canonical_search_text</x:v>
      </x:c>
      <x:c r="V80" s="14" t="str"/>
      <x:c r="W80" s="14" t="str">
        <x:v>local_or_non_http_locator_omitted</x:v>
      </x:c>
      <x:c r="X80" s="4" t="str">
        <x:v>recovered_transfer_20260706</x:v>
      </x:c>
      <x:c r="Y80" s="14" t="str">
        <x:v>native-source-body</x:v>
      </x:c>
      <x:c r="Z80" s="14" t="str">
        <x:v>no explicit license file detected at downloaded archive root; no license-clearance claim</x:v>
      </x:c>
      <x:c r="AA80" s="14" t="str">
        <x:v>unresolved_no_explicit_grant</x:v>
      </x:c>
      <x:c r="AB80" s="4" t="str">
        <x:v>match</x:v>
      </x:c>
      <x:c r="AC80" s="14" t="str">
        <x:v>not_term_sense_reviewed</x:v>
      </x:c>
      <x:c r="AD80" s="4" t="str">
        <x:v>true</x:v>
      </x:c>
      <x:c r="AE80" s="4" t="str">
        <x:v>true</x:v>
      </x:c>
      <x:c r="AF80" s="4" t="str">
        <x:v>false</x:v>
      </x:c>
      <x:c r="AG80" s="14" t="str">
        <x:v>primary_unique</x:v>
      </x:c>
      <x:c r="AH80" s="25" t="str">
        <x:v>true</x:v>
      </x:c>
      <x:c r="AI80" s="4" t="str">
        <x:v>false</x:v>
      </x:c>
      <x:c r="AJ80" s="4" t="str">
        <x:v>active_source_body</x:v>
      </x:c>
      <x:c r="AK80" s="4" t="str">
        <x:v>true</x:v>
      </x:c>
      <x:c r="AL80" s="4" t="str">
        <x:v>false</x:v>
      </x:c>
      <x:c r="AM80" s="14" t="str"/>
      <x:c r="AN80" s="14" t="str">
        <x:v>not_declared</x:v>
      </x:c>
      <x:c r="AO80" s="4" t="str">
        <x:v>false</x:v>
      </x:c>
      <x:c r="AP80" s="14" t="str"/>
      <x:c r="AQ80" s="4" t="str"/>
    </x:row>
    <x:row r="81" ht="44" customHeight="1">
      <x:c r="A81" s="14" t="str">
        <x:v>TRANSFER-0024</x:v>
      </x:c>
      <x:c r="B81" s="14" t="str">
        <x:v>TRANSFER-reamat/Teste:livro.tex-language-source-bodies/romance-germanic-baselines/bodies/portuguese/reamat_algebra_linear_livro/reamat_teste_livro.tex</x:v>
      </x:c>
      <x:c r="C81" s="4" t="str">
        <x:v>pt</x:v>
      </x:c>
      <x:c r="D81" s="4" t="str">
        <x:v>pt</x:v>
      </x:c>
      <x:c r="E81" s="14" t="str">
        <x:v>standard Portuguese</x:v>
      </x:c>
      <x:c r="F81" s="4" t="str">
        <x:v>Portugal Africa and Brazil</x:v>
      </x:c>
      <x:c r="G81" s="4" t="str">
        <x:v>Latn</x:v>
      </x:c>
      <x:c r="H81" s="4" t="str"/>
      <x:c r="I81" s="4" t="str"/>
      <x:c r="J81" s="4" t="str"/>
      <x:c r="K81" s="17" t="str"/>
      <x:c r="L81" s="4" t="str">
        <x:v>abstract_algebra</x:v>
      </x:c>
      <x:c r="M81" s="4" t="str">
        <x:v>abstract_algebra</x:v>
      </x:c>
      <x:c r="N81" s="14" t="str">
        <x:v>transfer_manifest_subject_label_not_page_topic_review</x:v>
      </x:c>
      <x:c r="O81" s="4" t="str">
        <x:v>unresolved_register</x:v>
      </x:c>
      <x:c r="P81" s="14" t="str">
        <x:v>reamat/Teste:livro.tex</x:v>
      </x:c>
      <x:c r="Q81" s="4" t="str">
        <x:v>tex</x:v>
      </x:c>
      <x:c r="R81" s="25" t="str">
        <x:v>7954</x:v>
      </x:c>
      <x:c r="S81" s="4" t="str">
        <x:v>A77B2893242F51D6EF7F1F551194F1810233087F86EC4598287D38BFC2D81F0C</x:v>
      </x:c>
      <x:c r="T81" s="4" t="str">
        <x:v>A77B2893242F51D6EF7F1F551194F1810233087F86EC4598287D38BFC2D81F0C</x:v>
      </x:c>
      <x:c r="U81" s="4" t="str">
        <x:v>source_file_is_canonical_search_text</x:v>
      </x:c>
      <x:c r="V81" s="14" t="str"/>
      <x:c r="W81" s="14" t="str">
        <x:v>local_or_non_http_locator_omitted</x:v>
      </x:c>
      <x:c r="X81" s="4" t="str">
        <x:v>recovered_transfer_20260706</x:v>
      </x:c>
      <x:c r="Y81" s="14" t="str">
        <x:v>native-source-body</x:v>
      </x:c>
      <x:c r="Z81" s="14" t="str">
        <x:v>source header states CC-BY-SA-3.0; no license-clearance claim</x:v>
      </x:c>
      <x:c r="AA81" s="14" t="str">
        <x:v>declared_cc_by_sa_3_0_needs_attribution_check</x:v>
      </x:c>
      <x:c r="AB81" s="4" t="str">
        <x:v>match</x:v>
      </x:c>
      <x:c r="AC81" s="14" t="str">
        <x:v>not_term_sense_reviewed</x:v>
      </x:c>
      <x:c r="AD81" s="4" t="str">
        <x:v>true</x:v>
      </x:c>
      <x:c r="AE81" s="4" t="str">
        <x:v>true</x:v>
      </x:c>
      <x:c r="AF81" s="4" t="str">
        <x:v>false</x:v>
      </x:c>
      <x:c r="AG81" s="14" t="str">
        <x:v>primary_unique</x:v>
      </x:c>
      <x:c r="AH81" s="25" t="str">
        <x:v>true</x:v>
      </x:c>
      <x:c r="AI81" s="4" t="str">
        <x:v>false</x:v>
      </x:c>
      <x:c r="AJ81" s="4" t="str">
        <x:v>active_source_body</x:v>
      </x:c>
      <x:c r="AK81" s="4" t="str">
        <x:v>true</x:v>
      </x:c>
      <x:c r="AL81" s="4" t="str">
        <x:v>false</x:v>
      </x:c>
      <x:c r="AM81" s="14" t="str"/>
      <x:c r="AN81" s="14" t="str">
        <x:v>not_declared</x:v>
      </x:c>
      <x:c r="AO81" s="4" t="str">
        <x:v>true</x:v>
      </x:c>
      <x:c r="AP81" s="14" t="str"/>
      <x:c r="AQ81" s="4" t="str"/>
    </x:row>
    <x:row r="82" ht="44" customHeight="1">
      <x:c r="A82" s="14" t="str">
        <x:v>WIKIHTML-CA-151836-36710349</x:v>
      </x:c>
      <x:c r="B82" s="14" t="str">
        <x:v>WIKI-ca-151836-36710349</x:v>
      </x:c>
      <x:c r="C82" s="4" t="str">
        <x:v>ca</x:v>
      </x:c>
      <x:c r="D82" s="4" t="str">
        <x:v>ca</x:v>
      </x:c>
      <x:c r="E82" s="14" t="str">
        <x:v>standard Catalan</x:v>
      </x:c>
      <x:c r="F82" s="4" t="str">
        <x:v>Catalan language area</x:v>
      </x:c>
      <x:c r="G82" s="4" t="str">
        <x:v>Latn</x:v>
      </x:c>
      <x:c r="H82" s="4" t="str"/>
      <x:c r="I82" s="4" t="str"/>
      <x:c r="J82" s="4" t="str"/>
      <x:c r="K82" s="17" t="str"/>
      <x:c r="L82" s="4" t="str">
        <x:v>module_theory</x:v>
      </x:c>
      <x:c r="M82" s="4" t="str">
        <x:v>module_theory;ring_theory</x:v>
      </x:c>
      <x:c r="N82" s="14" t="str">
        <x:v>manual_topic_review_20260717</x:v>
      </x:c>
      <x:c r="O82" s="4" t="str">
        <x:v>unresolved_register</x:v>
      </x:c>
      <x:c r="P82" s="14" t="str">
        <x:v>A-mòdul</x:v>
      </x:c>
      <x:c r="Q82" s="4" t="str">
        <x:v>html</x:v>
      </x:c>
      <x:c r="R82" s="25" t="str">
        <x:v>151380</x:v>
      </x:c>
      <x:c r="S82" s="4" t="str">
        <x:v>8031691E3AE369F0C96F3140524D5D0981A751AFD7185D38571685149CE8E338</x:v>
      </x:c>
      <x:c r="T82" s="4" t="str">
        <x:v>901E48EE7A66D37001062E69BD2F804318F9010CC5BFB6B9ED2C9E4243AC3F95</x:v>
      </x:c>
      <x:c r="U82" s="4" t="str">
        <x:v>derived_visible_text</x:v>
      </x:c>
      <x:c r="V82" s="14" t="str">
        <x:v>https://ca.wikipedia.org/w/index.php?curid=151836&amp;oldid=36710349</x:v>
      </x:c>
      <x:c r="W82" s="14" t="str">
        <x:v>public_http_locator_preserved</x:v>
      </x:c>
      <x:c r="X82" s="4" t="str">
        <x:v>36710349</x:v>
      </x:c>
      <x:c r="Y82" s="14" t="str">
        <x:v>native_revision_pinned_context_shelf</x:v>
      </x:c>
      <x:c r="Z82" s="14" t="str">
        <x:v>https://creativecommons.org/licenses/by-sa/4.0/deed.ca</x:v>
      </x:c>
      <x:c r="AA82" s="14" t="str">
        <x:v>declared_cc_by_sa_4_0</x:v>
      </x:c>
      <x:c r="AB82" s="4" t="str">
        <x:v>local_computed</x:v>
      </x:c>
      <x:c r="AC82" s="14" t="str">
        <x:v>page_topic_reviewed_term_occurrences_require_context_review</x:v>
      </x:c>
      <x:c r="AD82" s="4" t="str">
        <x:v>true</x:v>
      </x:c>
      <x:c r="AE82" s="4" t="str">
        <x:v>true</x:v>
      </x:c>
      <x:c r="AF82" s="4" t="str">
        <x:v>false</x:v>
      </x:c>
      <x:c r="AG82" s="14" t="str">
        <x:v>primary_unique</x:v>
      </x:c>
      <x:c r="AH82" s="25" t="str">
        <x:v>true</x:v>
      </x:c>
      <x:c r="AI82" s="4" t="str">
        <x:v>false</x:v>
      </x:c>
      <x:c r="AJ82" s="4" t="str">
        <x:v>active_source_body</x:v>
      </x:c>
      <x:c r="AK82" s="4" t="str">
        <x:v>true</x:v>
      </x:c>
      <x:c r="AL82" s="4" t="str">
        <x:v>false</x:v>
      </x:c>
      <x:c r="AM82" s="14" t="str"/>
      <x:c r="AN82" s="14" t="str">
        <x:v>not_declared</x:v>
      </x:c>
      <x:c r="AO82" s="4" t="str">
        <x:v>true</x:v>
      </x:c>
      <x:c r="AP82" s="14" t="str"/>
      <x:c r="AQ82" s="4" t="str"/>
    </x:row>
    <x:row r="83" ht="44" customHeight="1">
      <x:c r="A83" s="14" t="str">
        <x:v>WIKITEXT-CA-261813-37629512</x:v>
      </x:c>
      <x:c r="B83" s="14" t="str">
        <x:v>WIKI-ca-261813-37629512</x:v>
      </x:c>
      <x:c r="C83" s="4" t="str">
        <x:v>ca</x:v>
      </x:c>
      <x:c r="D83" s="4" t="str">
        <x:v>ca</x:v>
      </x:c>
      <x:c r="E83" s="14" t="str">
        <x:v>standard Catalan</x:v>
      </x:c>
      <x:c r="F83" s="4" t="str">
        <x:v>Catalan language area</x:v>
      </x:c>
      <x:c r="G83" s="4" t="str">
        <x:v>Latn</x:v>
      </x:c>
      <x:c r="H83" s="4" t="str"/>
      <x:c r="I83" s="4" t="str"/>
      <x:c r="J83" s="4" t="str"/>
      <x:c r="K83" s="17" t="str"/>
      <x:c r="L83" s="4" t="str">
        <x:v>abstract_algebra</x:v>
      </x:c>
      <x:c r="M83" s="4" t="str">
        <x:v>abstract_algebra</x:v>
      </x:c>
      <x:c r="N83" s="14" t="str">
        <x:v>unreviewed_partial_api_title_inference</x:v>
      </x:c>
      <x:c r="O83" s="4" t="str">
        <x:v>unresolved_register</x:v>
      </x:c>
      <x:c r="P83" s="14" t="str">
        <x:v>Àlgebra lineal</x:v>
      </x:c>
      <x:c r="Q83" s="4" t="str">
        <x:v>wikitext</x:v>
      </x:c>
      <x:c r="R83" s="25" t="str">
        <x:v>33785</x:v>
      </x:c>
      <x:c r="S83" s="4" t="str">
        <x:v>4878DB28E1E199294B53D776F31D7D26B6185D04E6A14BE7B59B04C971C615D4</x:v>
      </x:c>
      <x:c r="T83" s="4" t="str">
        <x:v>4878DB28E1E199294B53D776F31D7D26B6185D04E6A14BE7B59B04C971C615D4</x:v>
      </x:c>
      <x:c r="U83" s="4" t="str">
        <x:v>source_file_is_canonical_search_text</x:v>
      </x:c>
      <x:c r="V83" s="14" t="str">
        <x:v>https://ca.wikipedia.org/w/index.php?curid=261813&amp;oldid=37629512</x:v>
      </x:c>
      <x:c r="W83" s="14" t="str">
        <x:v>public_http_locator_preserved</x:v>
      </x:c>
      <x:c r="X83" s="4" t="str">
        <x:v>37629512</x:v>
      </x:c>
      <x:c r="Y83" s="14" t="str">
        <x:v>partial_api_acquisition_preserved</x:v>
      </x:c>
      <x:c r="Z83" s="14" t="str">
        <x:v>Wikimedia project text; verify page footer/rightsinfo</x:v>
      </x:c>
      <x:c r="AA83" s="14" t="str">
        <x:v>declared_cc_by_sa_4_0_project_terms_pending_page_match</x:v>
      </x:c>
      <x:c r="AB83" s="4" t="str">
        <x:v>local_computed</x:v>
      </x:c>
      <x:c r="AC83" s="14" t="str">
        <x:v>automatic_search_result_requires_manual_review</x:v>
      </x:c>
      <x:c r="AD83" s="4" t="str">
        <x:v>false</x:v>
      </x:c>
      <x:c r="AE83" s="4" t="str">
        <x:v>true</x:v>
      </x:c>
      <x:c r="AF83" s="4" t="str">
        <x:v>false</x:v>
      </x:c>
      <x:c r="AG83" s="14" t="str">
        <x:v>primary_unique</x:v>
      </x:c>
      <x:c r="AH83" s="25" t="str">
        <x:v>false</x:v>
      </x:c>
      <x:c r="AI83" s="4" t="str">
        <x:v>false</x:v>
      </x:c>
      <x:c r="AJ83" s="4" t="str">
        <x:v>preserved_noncounting_source_or_alias</x:v>
      </x:c>
      <x:c r="AK83" s="4" t="str">
        <x:v>false</x:v>
      </x:c>
      <x:c r="AL83" s="4" t="str">
        <x:v>false</x:v>
      </x:c>
      <x:c r="AM83" s="14" t="str"/>
      <x:c r="AN83" s="14" t="str">
        <x:v>not_declared</x:v>
      </x:c>
      <x:c r="AO83" s="4" t="str">
        <x:v>false</x:v>
      </x:c>
      <x:c r="AP83" s="14" t="str"/>
      <x:c r="AQ83" s="4" t="str"/>
    </x:row>
    <x:row r="84" ht="44" customHeight="1">
      <x:c r="A84" s="14" t="str">
        <x:v>WIKIHTML-CA-290598-37629739</x:v>
      </x:c>
      <x:c r="B84" s="14" t="str">
        <x:v>WIKI-ca-290598-37629739</x:v>
      </x:c>
      <x:c r="C84" s="4" t="str">
        <x:v>ca</x:v>
      </x:c>
      <x:c r="D84" s="4" t="str">
        <x:v>ca</x:v>
      </x:c>
      <x:c r="E84" s="14" t="str">
        <x:v>standard Catalan</x:v>
      </x:c>
      <x:c r="F84" s="4" t="str">
        <x:v>Catalan language area</x:v>
      </x:c>
      <x:c r="G84" s="4" t="str">
        <x:v>Latn</x:v>
      </x:c>
      <x:c r="H84" s="4" t="str"/>
      <x:c r="I84" s="4" t="str"/>
      <x:c r="J84" s="4" t="str"/>
      <x:c r="K84" s="17" t="str"/>
      <x:c r="L84" s="4" t="str">
        <x:v>abstract_algebra</x:v>
      </x:c>
      <x:c r="M84" s="4" t="str">
        <x:v>abstract_algebra</x:v>
      </x:c>
      <x:c r="N84" s="14" t="str">
        <x:v>manual_topic_review_20260717</x:v>
      </x:c>
      <x:c r="O84" s="4" t="str">
        <x:v>unresolved_register</x:v>
      </x:c>
      <x:c r="P84" s="14" t="str">
        <x:v>Àlgebra abstracta</x:v>
      </x:c>
      <x:c r="Q84" s="4" t="str">
        <x:v>html</x:v>
      </x:c>
      <x:c r="R84" s="25" t="str">
        <x:v>257700</x:v>
      </x:c>
      <x:c r="S84" s="4" t="str">
        <x:v>4483145488DFD767A8B931CDB77F99AC18C515D55D463DB07938C10AA1235180</x:v>
      </x:c>
      <x:c r="T84" s="4" t="str">
        <x:v>2DFC8E9056E0EF028C742AF0F5102617A7E4015311A3F375256262CD39ED3B69</x:v>
      </x:c>
      <x:c r="U84" s="4" t="str">
        <x:v>derived_visible_text</x:v>
      </x:c>
      <x:c r="V84" s="14" t="str">
        <x:v>https://ca.wikipedia.org/w/index.php?curid=290598&amp;oldid=37629739</x:v>
      </x:c>
      <x:c r="W84" s="14" t="str">
        <x:v>public_http_locator_preserved</x:v>
      </x:c>
      <x:c r="X84" s="4" t="str">
        <x:v>37629739</x:v>
      </x:c>
      <x:c r="Y84" s="14" t="str">
        <x:v>native_revision_pinned_context_shelf</x:v>
      </x:c>
      <x:c r="Z84" s="14" t="str">
        <x:v>https://creativecommons.org/licenses/by-sa/4.0/deed.ca</x:v>
      </x:c>
      <x:c r="AA84" s="14" t="str">
        <x:v>declared_cc_by_sa_4_0</x:v>
      </x:c>
      <x:c r="AB84" s="4" t="str">
        <x:v>local_computed</x:v>
      </x:c>
      <x:c r="AC84" s="14" t="str">
        <x:v>page_topic_reviewed_term_occurrences_require_context_review</x:v>
      </x:c>
      <x:c r="AD84" s="4" t="str">
        <x:v>true</x:v>
      </x:c>
      <x:c r="AE84" s="4" t="str">
        <x:v>true</x:v>
      </x:c>
      <x:c r="AF84" s="4" t="str">
        <x:v>false</x:v>
      </x:c>
      <x:c r="AG84" s="14" t="str">
        <x:v>primary_unique</x:v>
      </x:c>
      <x:c r="AH84" s="25" t="str">
        <x:v>true</x:v>
      </x:c>
      <x:c r="AI84" s="4" t="str">
        <x:v>false</x:v>
      </x:c>
      <x:c r="AJ84" s="4" t="str">
        <x:v>active_source_body</x:v>
      </x:c>
      <x:c r="AK84" s="4" t="str">
        <x:v>true</x:v>
      </x:c>
      <x:c r="AL84" s="4" t="str">
        <x:v>false</x:v>
      </x:c>
      <x:c r="AM84" s="14" t="str"/>
      <x:c r="AN84" s="14" t="str">
        <x:v>not_declared</x:v>
      </x:c>
      <x:c r="AO84" s="4" t="str">
        <x:v>true</x:v>
      </x:c>
      <x:c r="AP84" s="14" t="str"/>
      <x:c r="AQ84" s="4" t="str"/>
    </x:row>
    <x:row r="85" ht="44" customHeight="1">
      <x:c r="A85" s="14" t="str">
        <x:v>WIKITEXT-CA-383261-37015521</x:v>
      </x:c>
      <x:c r="B85" s="14" t="str">
        <x:v>WIKI-ca-383261-37015521</x:v>
      </x:c>
      <x:c r="C85" s="4" t="str">
        <x:v>ca</x:v>
      </x:c>
      <x:c r="D85" s="4" t="str">
        <x:v>ca</x:v>
      </x:c>
      <x:c r="E85" s="14" t="str">
        <x:v>standard Catalan</x:v>
      </x:c>
      <x:c r="F85" s="4" t="str">
        <x:v>Catalan language area</x:v>
      </x:c>
      <x:c r="G85" s="4" t="str">
        <x:v>Latn</x:v>
      </x:c>
      <x:c r="H85" s="4" t="str"/>
      <x:c r="I85" s="4" t="str"/>
      <x:c r="J85" s="4" t="str"/>
      <x:c r="K85" s="17" t="str"/>
      <x:c r="L85" s="4" t="str">
        <x:v>mathematics_mixed</x:v>
      </x:c>
      <x:c r="M85" s="4" t="str">
        <x:v>mathematics_mixed</x:v>
      </x:c>
      <x:c r="N85" s="14" t="str">
        <x:v>unreviewed_partial_api_title_inference</x:v>
      </x:c>
      <x:c r="O85" s="4" t="str">
        <x:v>unresolved_register</x:v>
      </x:c>
      <x:c r="P85" s="14" t="str">
        <x:v>Matemàtiques</x:v>
      </x:c>
      <x:c r="Q85" s="4" t="str">
        <x:v>wikitext</x:v>
      </x:c>
      <x:c r="R85" s="25" t="str">
        <x:v>42976</x:v>
      </x:c>
      <x:c r="S85" s="4" t="str">
        <x:v>B2414E7942B6F38AD2FC5C5C7A28FCB8F13AB3099D7467C6FF4D0985A8DE3FD4</x:v>
      </x:c>
      <x:c r="T85" s="4" t="str">
        <x:v>B2414E7942B6F38AD2FC5C5C7A28FCB8F13AB3099D7467C6FF4D0985A8DE3FD4</x:v>
      </x:c>
      <x:c r="U85" s="4" t="str">
        <x:v>source_file_is_canonical_search_text</x:v>
      </x:c>
      <x:c r="V85" s="14" t="str">
        <x:v>https://ca.wikipedia.org/w/index.php?curid=383261&amp;oldid=37015521</x:v>
      </x:c>
      <x:c r="W85" s="14" t="str">
        <x:v>public_http_locator_preserved</x:v>
      </x:c>
      <x:c r="X85" s="4" t="str">
        <x:v>37015521</x:v>
      </x:c>
      <x:c r="Y85" s="14" t="str">
        <x:v>partial_api_acquisition_preserved</x:v>
      </x:c>
      <x:c r="Z85" s="14" t="str">
        <x:v>Wikimedia project text; verify page footer/rightsinfo</x:v>
      </x:c>
      <x:c r="AA85" s="14" t="str">
        <x:v>declared_cc_by_sa_4_0_project_terms_pending_page_match</x:v>
      </x:c>
      <x:c r="AB85" s="4" t="str">
        <x:v>local_computed</x:v>
      </x:c>
      <x:c r="AC85" s="14" t="str">
        <x:v>automatic_search_result_requires_manual_review</x:v>
      </x:c>
      <x:c r="AD85" s="4" t="str">
        <x:v>false</x:v>
      </x:c>
      <x:c r="AE85" s="4" t="str">
        <x:v>true</x:v>
      </x:c>
      <x:c r="AF85" s="4" t="str">
        <x:v>false</x:v>
      </x:c>
      <x:c r="AG85" s="14" t="str">
        <x:v>primary_unique</x:v>
      </x:c>
      <x:c r="AH85" s="25" t="str">
        <x:v>false</x:v>
      </x:c>
      <x:c r="AI85" s="4" t="str">
        <x:v>false</x:v>
      </x:c>
      <x:c r="AJ85" s="4" t="str">
        <x:v>preserved_noncounting_source_or_alias</x:v>
      </x:c>
      <x:c r="AK85" s="4" t="str">
        <x:v>false</x:v>
      </x:c>
      <x:c r="AL85" s="4" t="str">
        <x:v>false</x:v>
      </x:c>
      <x:c r="AM85" s="14" t="str"/>
      <x:c r="AN85" s="14" t="str">
        <x:v>not_declared</x:v>
      </x:c>
      <x:c r="AO85" s="4" t="str">
        <x:v>false</x:v>
      </x:c>
      <x:c r="AP85" s="14" t="str"/>
      <x:c r="AQ85" s="4" t="str"/>
    </x:row>
    <x:row r="86" ht="44" customHeight="1">
      <x:c r="A86" s="14" t="str">
        <x:v>WIKITEXT-CA-41933-37220674</x:v>
      </x:c>
      <x:c r="B86" s="14" t="str">
        <x:v>WIKI-ca-41933-37220674</x:v>
      </x:c>
      <x:c r="C86" s="4" t="str">
        <x:v>ca</x:v>
      </x:c>
      <x:c r="D86" s="4" t="str">
        <x:v>ca</x:v>
      </x:c>
      <x:c r="E86" s="14" t="str">
        <x:v>standard Catalan</x:v>
      </x:c>
      <x:c r="F86" s="4" t="str">
        <x:v>Catalan language area</x:v>
      </x:c>
      <x:c r="G86" s="4" t="str">
        <x:v>Latn</x:v>
      </x:c>
      <x:c r="H86" s="4" t="str"/>
      <x:c r="I86" s="4" t="str"/>
      <x:c r="J86" s="4" t="str"/>
      <x:c r="K86" s="17" t="str"/>
      <x:c r="L86" s="4" t="str">
        <x:v>ring_theory</x:v>
      </x:c>
      <x:c r="M86" s="4" t="str">
        <x:v>ring_theory;abstract_algebra</x:v>
      </x:c>
      <x:c r="N86" s="14" t="str">
        <x:v>manual_topic_review_20260717</x:v>
      </x:c>
      <x:c r="O86" s="4" t="str">
        <x:v>unresolved_register</x:v>
      </x:c>
      <x:c r="P86" s="14" t="str">
        <x:v>Anell matemàtiques</x:v>
      </x:c>
      <x:c r="Q86" s="4" t="str">
        <x:v>wikitext</x:v>
      </x:c>
      <x:c r="R86" s="25" t="str">
        <x:v>17650</x:v>
      </x:c>
      <x:c r="S86" s="4" t="str">
        <x:v>95F87E5056E424ADE187E62601BA6AD70CA86321D9FA79F0331F9EF0497BBEC7</x:v>
      </x:c>
      <x:c r="T86" s="4" t="str">
        <x:v>95F87E5056E424ADE187E62601BA6AD70CA86321D9FA79F0331F9EF0497BBEC7</x:v>
      </x:c>
      <x:c r="U86" s="4" t="str">
        <x:v>source_file_is_canonical_search_text</x:v>
      </x:c>
      <x:c r="V86" s="14" t="str">
        <x:v>https://ca.wikipedia.org/w/index.php?curid=41933&amp;oldid=37220674</x:v>
      </x:c>
      <x:c r="W86" s="14" t="str">
        <x:v>public_http_locator_preserved</x:v>
      </x:c>
      <x:c r="X86" s="4" t="str">
        <x:v>37220674</x:v>
      </x:c>
      <x:c r="Y86" s="14" t="str">
        <x:v>partial_api_acquisition_preserved</x:v>
      </x:c>
      <x:c r="Z86" s="14" t="str">
        <x:v>Wikimedia project text; verify page footer/rightsinfo</x:v>
      </x:c>
      <x:c r="AA86" s="14" t="str">
        <x:v>declared_cc_by_sa_4_0_project_terms_pending_page_match</x:v>
      </x:c>
      <x:c r="AB86" s="4" t="str">
        <x:v>local_computed</x:v>
      </x:c>
      <x:c r="AC86" s="14" t="str">
        <x:v>page_topic_reviewed_term_occurrences_require_context_review</x:v>
      </x:c>
      <x:c r="AD86" s="4" t="str">
        <x:v>true</x:v>
      </x:c>
      <x:c r="AE86" s="4" t="str">
        <x:v>true</x:v>
      </x:c>
      <x:c r="AF86" s="4" t="str">
        <x:v>false</x:v>
      </x:c>
      <x:c r="AG86" s="14" t="str">
        <x:v>primary_unique</x:v>
      </x:c>
      <x:c r="AH86" s="25" t="str">
        <x:v>true</x:v>
      </x:c>
      <x:c r="AI86" s="4" t="str">
        <x:v>false</x:v>
      </x:c>
      <x:c r="AJ86" s="4" t="str">
        <x:v>active_source_body</x:v>
      </x:c>
      <x:c r="AK86" s="4" t="str">
        <x:v>true</x:v>
      </x:c>
      <x:c r="AL86" s="4" t="str">
        <x:v>false</x:v>
      </x:c>
      <x:c r="AM86" s="14" t="str"/>
      <x:c r="AN86" s="14" t="str">
        <x:v>not_declared</x:v>
      </x:c>
      <x:c r="AO86" s="4" t="str">
        <x:v>true</x:v>
      </x:c>
      <x:c r="AP86" s="14" t="str"/>
      <x:c r="AQ86" s="4" t="str"/>
    </x:row>
    <x:row r="87" ht="44" customHeight="1">
      <x:c r="A87" s="14" t="str">
        <x:v>WIKIHTML-CA-41933-37220674</x:v>
      </x:c>
      <x:c r="B87" s="14" t="str">
        <x:v>WIKI-ca-41933-37220674</x:v>
      </x:c>
      <x:c r="C87" s="4" t="str">
        <x:v>ca</x:v>
      </x:c>
      <x:c r="D87" s="4" t="str">
        <x:v>ca</x:v>
      </x:c>
      <x:c r="E87" s="14" t="str">
        <x:v>standard Catalan</x:v>
      </x:c>
      <x:c r="F87" s="4" t="str">
        <x:v>Catalan language area</x:v>
      </x:c>
      <x:c r="G87" s="4" t="str">
        <x:v>Latn</x:v>
      </x:c>
      <x:c r="H87" s="4" t="str"/>
      <x:c r="I87" s="4" t="str"/>
      <x:c r="J87" s="4" t="str"/>
      <x:c r="K87" s="17" t="str"/>
      <x:c r="L87" s="4" t="str">
        <x:v>ring_theory</x:v>
      </x:c>
      <x:c r="M87" s="4" t="str">
        <x:v>ring_theory;abstract_algebra</x:v>
      </x:c>
      <x:c r="N87" s="14" t="str">
        <x:v>manual_topic_review_20260717</x:v>
      </x:c>
      <x:c r="O87" s="4" t="str">
        <x:v>unresolved_register</x:v>
      </x:c>
      <x:c r="P87" s="14" t="str">
        <x:v>Anell (matemàtiques)</x:v>
      </x:c>
      <x:c r="Q87" s="4" t="str">
        <x:v>html</x:v>
      </x:c>
      <x:c r="R87" s="25" t="str">
        <x:v>198822</x:v>
      </x:c>
      <x:c r="S87" s="4" t="str">
        <x:v>6D2F13156AED62BC860C1534FE697287C5014FAFAA525816FE717D4B2E829FBB</x:v>
      </x:c>
      <x:c r="T87" s="4" t="str">
        <x:v>106A0BC979B6A98EB9F2F26722505F5BF6FC039A5646215D357F3D5B9B7EA1CC</x:v>
      </x:c>
      <x:c r="U87" s="4" t="str">
        <x:v>derived_visible_text</x:v>
      </x:c>
      <x:c r="V87" s="14" t="str">
        <x:v>https://ca.wikipedia.org/w/index.php?curid=41933&amp;oldid=37220674</x:v>
      </x:c>
      <x:c r="W87" s="14" t="str">
        <x:v>public_http_locator_preserved</x:v>
      </x:c>
      <x:c r="X87" s="4" t="str">
        <x:v>37220674</x:v>
      </x:c>
      <x:c r="Y87" s="14" t="str">
        <x:v>native_revision_pinned_context_shelf</x:v>
      </x:c>
      <x:c r="Z87" s="14" t="str">
        <x:v>https://creativecommons.org/licenses/by-sa/4.0/deed.ca</x:v>
      </x:c>
      <x:c r="AA87" s="14" t="str">
        <x:v>declared_cc_by_sa_4_0</x:v>
      </x:c>
      <x:c r="AB87" s="4" t="str">
        <x:v>local_computed</x:v>
      </x:c>
      <x:c r="AC87" s="14" t="str">
        <x:v>page_topic_reviewed_term_occurrences_require_context_review</x:v>
      </x:c>
      <x:c r="AD87" s="4" t="str">
        <x:v>true</x:v>
      </x:c>
      <x:c r="AE87" s="4" t="str">
        <x:v>true</x:v>
      </x:c>
      <x:c r="AF87" s="4" t="str">
        <x:v>false</x:v>
      </x:c>
      <x:c r="AG87" s="14" t="str">
        <x:v>representation_alias_of:WIKITEXT-CA-41933-37220674</x:v>
      </x:c>
      <x:c r="AH87" s="25" t="str">
        <x:v>false</x:v>
      </x:c>
      <x:c r="AI87" s="4" t="str">
        <x:v>false</x:v>
      </x:c>
      <x:c r="AJ87" s="4" t="str">
        <x:v>preserved_noncounting_source_or_alias</x:v>
      </x:c>
      <x:c r="AK87" s="4" t="str">
        <x:v>false</x:v>
      </x:c>
      <x:c r="AL87" s="4" t="str">
        <x:v>false</x:v>
      </x:c>
      <x:c r="AM87" s="14" t="str"/>
      <x:c r="AN87" s="14" t="str">
        <x:v>not_declared</x:v>
      </x:c>
      <x:c r="AO87" s="4" t="str">
        <x:v>false</x:v>
      </x:c>
      <x:c r="AP87" s="14" t="str"/>
      <x:c r="AQ87" s="4" t="str"/>
    </x:row>
    <x:row r="88" ht="44" customHeight="1">
      <x:c r="A88" s="14" t="str">
        <x:v>WIKITEXT-CA-45555-35973784</x:v>
      </x:c>
      <x:c r="B88" s="14" t="str">
        <x:v>WIKI-ca-45555-35973784</x:v>
      </x:c>
      <x:c r="C88" s="4" t="str">
        <x:v>ca</x:v>
      </x:c>
      <x:c r="D88" s="4" t="str">
        <x:v>ca</x:v>
      </x:c>
      <x:c r="E88" s="14" t="str">
        <x:v>standard Catalan</x:v>
      </x:c>
      <x:c r="F88" s="4" t="str">
        <x:v>Catalan language area</x:v>
      </x:c>
      <x:c r="G88" s="4" t="str">
        <x:v>Latn</x:v>
      </x:c>
      <x:c r="H88" s="4" t="str"/>
      <x:c r="I88" s="4" t="str"/>
      <x:c r="J88" s="4" t="str"/>
      <x:c r="K88" s="17" t="str"/>
      <x:c r="L88" s="4" t="str">
        <x:v>mathematics_mixed</x:v>
      </x:c>
      <x:c r="M88" s="4" t="str">
        <x:v>mathematics_mixed</x:v>
      </x:c>
      <x:c r="N88" s="14" t="str">
        <x:v>unreviewed_partial_api_title_inference</x:v>
      </x:c>
      <x:c r="O88" s="4" t="str">
        <x:v>unresolved_register</x:v>
      </x:c>
      <x:c r="P88" s="14" t="str">
        <x:v>Matriu matemàtiques</x:v>
      </x:c>
      <x:c r="Q88" s="4" t="str">
        <x:v>wikitext</x:v>
      </x:c>
      <x:c r="R88" s="25" t="str">
        <x:v>30161</x:v>
      </x:c>
      <x:c r="S88" s="4" t="str">
        <x:v>0A0DDF3D95FB6EDF411303F2F71FD3F8245835CAFDE6FFABFA5DFD52FB7BCF64</x:v>
      </x:c>
      <x:c r="T88" s="4" t="str">
        <x:v>0A0DDF3D95FB6EDF411303F2F71FD3F8245835CAFDE6FFABFA5DFD52FB7BCF64</x:v>
      </x:c>
      <x:c r="U88" s="4" t="str">
        <x:v>source_file_is_canonical_search_text</x:v>
      </x:c>
      <x:c r="V88" s="14" t="str">
        <x:v>https://ca.wikipedia.org/w/index.php?curid=45555&amp;oldid=35973784</x:v>
      </x:c>
      <x:c r="W88" s="14" t="str">
        <x:v>public_http_locator_preserved</x:v>
      </x:c>
      <x:c r="X88" s="4" t="str">
        <x:v>35973784</x:v>
      </x:c>
      <x:c r="Y88" s="14" t="str">
        <x:v>partial_api_acquisition_preserved</x:v>
      </x:c>
      <x:c r="Z88" s="14" t="str">
        <x:v>Wikimedia project text; verify page footer/rightsinfo</x:v>
      </x:c>
      <x:c r="AA88" s="14" t="str">
        <x:v>declared_cc_by_sa_4_0_project_terms_pending_page_match</x:v>
      </x:c>
      <x:c r="AB88" s="4" t="str">
        <x:v>local_computed</x:v>
      </x:c>
      <x:c r="AC88" s="14" t="str">
        <x:v>automatic_search_result_requires_manual_review</x:v>
      </x:c>
      <x:c r="AD88" s="4" t="str">
        <x:v>false</x:v>
      </x:c>
      <x:c r="AE88" s="4" t="str">
        <x:v>true</x:v>
      </x:c>
      <x:c r="AF88" s="4" t="str">
        <x:v>false</x:v>
      </x:c>
      <x:c r="AG88" s="14" t="str">
        <x:v>primary_unique</x:v>
      </x:c>
      <x:c r="AH88" s="25" t="str">
        <x:v>false</x:v>
      </x:c>
      <x:c r="AI88" s="4" t="str">
        <x:v>false</x:v>
      </x:c>
      <x:c r="AJ88" s="4" t="str">
        <x:v>preserved_noncounting_source_or_alias</x:v>
      </x:c>
      <x:c r="AK88" s="4" t="str">
        <x:v>false</x:v>
      </x:c>
      <x:c r="AL88" s="4" t="str">
        <x:v>false</x:v>
      </x:c>
      <x:c r="AM88" s="14" t="str"/>
      <x:c r="AN88" s="14" t="str">
        <x:v>not_declared</x:v>
      </x:c>
      <x:c r="AO88" s="4" t="str">
        <x:v>false</x:v>
      </x:c>
      <x:c r="AP88" s="14" t="str"/>
      <x:c r="AQ88" s="4" t="str"/>
    </x:row>
    <x:row r="89" ht="44" customHeight="1">
      <x:c r="A89" s="14" t="str">
        <x:v>WIKIHTML-CA-53255-37305780</x:v>
      </x:c>
      <x:c r="B89" s="14" t="str">
        <x:v>WIKI-ca-53255-37305780</x:v>
      </x:c>
      <x:c r="C89" s="4" t="str">
        <x:v>ca</x:v>
      </x:c>
      <x:c r="D89" s="4" t="str">
        <x:v>ca</x:v>
      </x:c>
      <x:c r="E89" s="14" t="str">
        <x:v>standard Catalan</x:v>
      </x:c>
      <x:c r="F89" s="4" t="str">
        <x:v>Catalan language area</x:v>
      </x:c>
      <x:c r="G89" s="4" t="str">
        <x:v>Latn</x:v>
      </x:c>
      <x:c r="H89" s="4" t="str"/>
      <x:c r="I89" s="4" t="str"/>
      <x:c r="J89" s="4" t="str"/>
      <x:c r="K89" s="17" t="str"/>
      <x:c r="L89" s="4" t="str">
        <x:v>group_theory</x:v>
      </x:c>
      <x:c r="M89" s="4" t="str">
        <x:v>group_theory;abstract_algebra</x:v>
      </x:c>
      <x:c r="N89" s="14" t="str">
        <x:v>manual_topic_review_20260717</x:v>
      </x:c>
      <x:c r="O89" s="4" t="str">
        <x:v>unresolved_register</x:v>
      </x:c>
      <x:c r="P89" s="14" t="str">
        <x:v>Teoria de grups</x:v>
      </x:c>
      <x:c r="Q89" s="4" t="str">
        <x:v>html</x:v>
      </x:c>
      <x:c r="R89" s="25" t="str">
        <x:v>214983</x:v>
      </x:c>
      <x:c r="S89" s="4" t="str">
        <x:v>206F483DBC691AB3DA49380FA19FEA88F2EF236686F9B49092730C34DF73A456</x:v>
      </x:c>
      <x:c r="T89" s="4" t="str">
        <x:v>F621CD736C37BFAD9B799908C469AC6E97A1B77F770B65EAA1204BADFBA5E057</x:v>
      </x:c>
      <x:c r="U89" s="4" t="str">
        <x:v>derived_visible_text</x:v>
      </x:c>
      <x:c r="V89" s="14" t="str">
        <x:v>https://ca.wikipedia.org/w/index.php?curid=53255&amp;oldid=37305780</x:v>
      </x:c>
      <x:c r="W89" s="14" t="str">
        <x:v>public_http_locator_preserved</x:v>
      </x:c>
      <x:c r="X89" s="4" t="str">
        <x:v>37305780</x:v>
      </x:c>
      <x:c r="Y89" s="14" t="str">
        <x:v>native_revision_pinned_context_shelf</x:v>
      </x:c>
      <x:c r="Z89" s="14" t="str">
        <x:v>https://creativecommons.org/licenses/by-sa/4.0/deed.ca</x:v>
      </x:c>
      <x:c r="AA89" s="14" t="str">
        <x:v>declared_cc_by_sa_4_0</x:v>
      </x:c>
      <x:c r="AB89" s="4" t="str">
        <x:v>local_computed</x:v>
      </x:c>
      <x:c r="AC89" s="14" t="str">
        <x:v>page_topic_reviewed_term_occurrences_require_context_review</x:v>
      </x:c>
      <x:c r="AD89" s="4" t="str">
        <x:v>true</x:v>
      </x:c>
      <x:c r="AE89" s="4" t="str">
        <x:v>true</x:v>
      </x:c>
      <x:c r="AF89" s="4" t="str">
        <x:v>false</x:v>
      </x:c>
      <x:c r="AG89" s="14" t="str">
        <x:v>primary_unique</x:v>
      </x:c>
      <x:c r="AH89" s="25" t="str">
        <x:v>true</x:v>
      </x:c>
      <x:c r="AI89" s="4" t="str">
        <x:v>false</x:v>
      </x:c>
      <x:c r="AJ89" s="4" t="str">
        <x:v>active_source_body</x:v>
      </x:c>
      <x:c r="AK89" s="4" t="str">
        <x:v>true</x:v>
      </x:c>
      <x:c r="AL89" s="4" t="str">
        <x:v>false</x:v>
      </x:c>
      <x:c r="AM89" s="14" t="str"/>
      <x:c r="AN89" s="14" t="str">
        <x:v>not_declared</x:v>
      </x:c>
      <x:c r="AO89" s="4" t="str">
        <x:v>true</x:v>
      </x:c>
      <x:c r="AP89" s="14" t="str"/>
      <x:c r="AQ89" s="4" t="str"/>
    </x:row>
    <x:row r="90" ht="44" customHeight="1">
      <x:c r="A90" s="14" t="str">
        <x:v>WIKIHTML-CA-53831-37621206</x:v>
      </x:c>
      <x:c r="B90" s="14" t="str">
        <x:v>WIKI-ca-53831-37621206</x:v>
      </x:c>
      <x:c r="C90" s="4" t="str">
        <x:v>ca</x:v>
      </x:c>
      <x:c r="D90" s="4" t="str">
        <x:v>ca</x:v>
      </x:c>
      <x:c r="E90" s="14" t="str">
        <x:v>standard Catalan</x:v>
      </x:c>
      <x:c r="F90" s="4" t="str">
        <x:v>Catalan language area</x:v>
      </x:c>
      <x:c r="G90" s="4" t="str">
        <x:v>Latn</x:v>
      </x:c>
      <x:c r="H90" s="4" t="str"/>
      <x:c r="I90" s="4" t="str"/>
      <x:c r="J90" s="4" t="str"/>
      <x:c r="K90" s="17" t="str"/>
      <x:c r="L90" s="4" t="str">
        <x:v>proof_register</x:v>
      </x:c>
      <x:c r="M90" s="4" t="str">
        <x:v>proof_register;mathematics_general</x:v>
      </x:c>
      <x:c r="N90" s="14" t="str">
        <x:v>manual_topic_review_20260717</x:v>
      </x:c>
      <x:c r="O90" s="4" t="str">
        <x:v>unresolved_register</x:v>
      </x:c>
      <x:c r="P90" s="14" t="str">
        <x:v>Demostració (matemàtiques)</x:v>
      </x:c>
      <x:c r="Q90" s="4" t="str">
        <x:v>html</x:v>
      </x:c>
      <x:c r="R90" s="25" t="str">
        <x:v>284882</x:v>
      </x:c>
      <x:c r="S90" s="4" t="str">
        <x:v>FC8422DD2D764F8644A34E4424F2C60AC5C941AC30F696BC1E47843268F641BF</x:v>
      </x:c>
      <x:c r="T90" s="4" t="str">
        <x:v>6C6ED518C43E1B5F164A3E61E338D832C7AF3CFB07434F68392B21BF91F7EFC1</x:v>
      </x:c>
      <x:c r="U90" s="4" t="str">
        <x:v>derived_visible_text</x:v>
      </x:c>
      <x:c r="V90" s="14" t="str">
        <x:v>https://ca.wikipedia.org/w/index.php?curid=53831&amp;oldid=37621206</x:v>
      </x:c>
      <x:c r="W90" s="14" t="str">
        <x:v>public_http_locator_preserved</x:v>
      </x:c>
      <x:c r="X90" s="4" t="str">
        <x:v>37621206</x:v>
      </x:c>
      <x:c r="Y90" s="14" t="str">
        <x:v>native_revision_pinned_context_shelf</x:v>
      </x:c>
      <x:c r="Z90" s="14" t="str">
        <x:v>https://creativecommons.org/licenses/by-sa/4.0/deed.ca</x:v>
      </x:c>
      <x:c r="AA90" s="14" t="str">
        <x:v>declared_cc_by_sa_4_0</x:v>
      </x:c>
      <x:c r="AB90" s="4" t="str">
        <x:v>local_computed</x:v>
      </x:c>
      <x:c r="AC90" s="14" t="str">
        <x:v>page_topic_reviewed_term_occurrences_require_context_review</x:v>
      </x:c>
      <x:c r="AD90" s="4" t="str">
        <x:v>true</x:v>
      </x:c>
      <x:c r="AE90" s="4" t="str">
        <x:v>true</x:v>
      </x:c>
      <x:c r="AF90" s="4" t="str">
        <x:v>false</x:v>
      </x:c>
      <x:c r="AG90" s="14" t="str">
        <x:v>primary_unique</x:v>
      </x:c>
      <x:c r="AH90" s="25" t="str">
        <x:v>true</x:v>
      </x:c>
      <x:c r="AI90" s="4" t="str">
        <x:v>false</x:v>
      </x:c>
      <x:c r="AJ90" s="4" t="str">
        <x:v>active_source_body</x:v>
      </x:c>
      <x:c r="AK90" s="4" t="str">
        <x:v>true</x:v>
      </x:c>
      <x:c r="AL90" s="4" t="str">
        <x:v>false</x:v>
      </x:c>
      <x:c r="AM90" s="14" t="str"/>
      <x:c r="AN90" s="14" t="str">
        <x:v>not_declared</x:v>
      </x:c>
      <x:c r="AO90" s="4" t="str">
        <x:v>false</x:v>
      </x:c>
      <x:c r="AP90" s="14" t="str"/>
      <x:c r="AQ90" s="4" t="str"/>
    </x:row>
    <x:row r="91" ht="44" customHeight="1">
      <x:c r="A91" s="14" t="str">
        <x:v>WIKIHTML-CA-54406-36480260</x:v>
      </x:c>
      <x:c r="B91" s="14" t="str">
        <x:v>WIKI-ca-54406-36480260</x:v>
      </x:c>
      <x:c r="C91" s="4" t="str">
        <x:v>ca</x:v>
      </x:c>
      <x:c r="D91" s="4" t="str">
        <x:v>ca</x:v>
      </x:c>
      <x:c r="E91" s="14" t="str">
        <x:v>standard Catalan</x:v>
      </x:c>
      <x:c r="F91" s="4" t="str">
        <x:v>Catalan language area</x:v>
      </x:c>
      <x:c r="G91" s="4" t="str">
        <x:v>Latn</x:v>
      </x:c>
      <x:c r="H91" s="4" t="str"/>
      <x:c r="I91" s="4" t="str"/>
      <x:c r="J91" s="4" t="str"/>
      <x:c r="K91" s="17" t="str"/>
      <x:c r="L91" s="4" t="str">
        <x:v>mathematics_general</x:v>
      </x:c>
      <x:c r="M91" s="4" t="str">
        <x:v>mathematics_general</x:v>
      </x:c>
      <x:c r="N91" s="14" t="str">
        <x:v>manual_topic_review_20260717</x:v>
      </x:c>
      <x:c r="O91" s="4" t="str">
        <x:v>unresolved_register</x:v>
      </x:c>
      <x:c r="P91" s="14" t="str">
        <x:v>Cos (matemàtiques)</x:v>
      </x:c>
      <x:c r="Q91" s="4" t="str">
        <x:v>html</x:v>
      </x:c>
      <x:c r="R91" s="25" t="str">
        <x:v>175722</x:v>
      </x:c>
      <x:c r="S91" s="4" t="str">
        <x:v>D426B7C588E924F826BA86AE0A3C5047CA152CFE313CC399C0726ED207CF9344</x:v>
      </x:c>
      <x:c r="T91" s="4" t="str">
        <x:v>74816A99DF626D37A01B388A03C1A6349D0BCDF2523D106DF415D1D19B664910</x:v>
      </x:c>
      <x:c r="U91" s="4" t="str">
        <x:v>derived_visible_text</x:v>
      </x:c>
      <x:c r="V91" s="14" t="str">
        <x:v>https://ca.wikipedia.org/w/index.php?curid=54406&amp;oldid=36480260</x:v>
      </x:c>
      <x:c r="W91" s="14" t="str">
        <x:v>public_http_locator_preserved</x:v>
      </x:c>
      <x:c r="X91" s="4" t="str">
        <x:v>36480260</x:v>
      </x:c>
      <x:c r="Y91" s="14" t="str">
        <x:v>native_revision_pinned_context_shelf</x:v>
      </x:c>
      <x:c r="Z91" s="14" t="str">
        <x:v>https://creativecommons.org/licenses/by-sa/4.0/deed.ca</x:v>
      </x:c>
      <x:c r="AA91" s="14" t="str">
        <x:v>declared_cc_by_sa_4_0</x:v>
      </x:c>
      <x:c r="AB91" s="4" t="str">
        <x:v>local_computed</x:v>
      </x:c>
      <x:c r="AC91" s="14" t="str">
        <x:v>page_topic_reviewed_term_occurrences_require_context_review</x:v>
      </x:c>
      <x:c r="AD91" s="4" t="str">
        <x:v>true</x:v>
      </x:c>
      <x:c r="AE91" s="4" t="str">
        <x:v>true</x:v>
      </x:c>
      <x:c r="AF91" s="4" t="str">
        <x:v>false</x:v>
      </x:c>
      <x:c r="AG91" s="14" t="str">
        <x:v>primary_unique</x:v>
      </x:c>
      <x:c r="AH91" s="25" t="str">
        <x:v>true</x:v>
      </x:c>
      <x:c r="AI91" s="4" t="str">
        <x:v>false</x:v>
      </x:c>
      <x:c r="AJ91" s="4" t="str">
        <x:v>active_source_body</x:v>
      </x:c>
      <x:c r="AK91" s="4" t="str">
        <x:v>true</x:v>
      </x:c>
      <x:c r="AL91" s="4" t="str">
        <x:v>false</x:v>
      </x:c>
      <x:c r="AM91" s="14" t="str"/>
      <x:c r="AN91" s="14" t="str">
        <x:v>not_declared</x:v>
      </x:c>
      <x:c r="AO91" s="4" t="str">
        <x:v>false</x:v>
      </x:c>
      <x:c r="AP91" s="14" t="str"/>
      <x:c r="AQ91" s="4" t="str"/>
    </x:row>
    <x:row r="92" ht="44" customHeight="1">
      <x:c r="A92" s="14" t="str">
        <x:v>WIKITEXT-CA-656649-34475611</x:v>
      </x:c>
      <x:c r="B92" s="14" t="str">
        <x:v>WIKI-ca-656649-34475611</x:v>
      </x:c>
      <x:c r="C92" s="4" t="str">
        <x:v>ca</x:v>
      </x:c>
      <x:c r="D92" s="4" t="str">
        <x:v>ca</x:v>
      </x:c>
      <x:c r="E92" s="14" t="str">
        <x:v>standard Catalan</x:v>
      </x:c>
      <x:c r="F92" s="4" t="str">
        <x:v>Catalan language area</x:v>
      </x:c>
      <x:c r="G92" s="4" t="str">
        <x:v>Latn</x:v>
      </x:c>
      <x:c r="H92" s="4" t="str"/>
      <x:c r="I92" s="4" t="str"/>
      <x:c r="J92" s="4" t="str"/>
      <x:c r="K92" s="17" t="str"/>
      <x:c r="L92" s="4" t="str">
        <x:v>abstract_algebra</x:v>
      </x:c>
      <x:c r="M92" s="4" t="str">
        <x:v>abstract_algebra</x:v>
      </x:c>
      <x:c r="N92" s="14" t="str">
        <x:v>unreviewed_partial_api_title_inference</x:v>
      </x:c>
      <x:c r="O92" s="4" t="str">
        <x:v>unresolved_register</x:v>
      </x:c>
      <x:c r="P92" s="14" t="str">
        <x:v>Àlgebra associativa</x:v>
      </x:c>
      <x:c r="Q92" s="4" t="str">
        <x:v>wikitext</x:v>
      </x:c>
      <x:c r="R92" s="25" t="str">
        <x:v>19411</x:v>
      </x:c>
      <x:c r="S92" s="4" t="str">
        <x:v>924B57CA4E27FDF932114281E47C56807D20CBF2282B1BD1D85810A92B74CB3A</x:v>
      </x:c>
      <x:c r="T92" s="4" t="str">
        <x:v>924B57CA4E27FDF932114281E47C56807D20CBF2282B1BD1D85810A92B74CB3A</x:v>
      </x:c>
      <x:c r="U92" s="4" t="str">
        <x:v>source_file_is_canonical_search_text</x:v>
      </x:c>
      <x:c r="V92" s="14" t="str">
        <x:v>https://ca.wikipedia.org/w/index.php?curid=656649&amp;oldid=34475611</x:v>
      </x:c>
      <x:c r="W92" s="14" t="str">
        <x:v>public_http_locator_preserved</x:v>
      </x:c>
      <x:c r="X92" s="4" t="str">
        <x:v>34475611</x:v>
      </x:c>
      <x:c r="Y92" s="14" t="str">
        <x:v>partial_api_acquisition_preserved</x:v>
      </x:c>
      <x:c r="Z92" s="14" t="str">
        <x:v>Wikimedia project text; verify page footer/rightsinfo</x:v>
      </x:c>
      <x:c r="AA92" s="14" t="str">
        <x:v>declared_cc_by_sa_4_0_project_terms_pending_page_match</x:v>
      </x:c>
      <x:c r="AB92" s="4" t="str">
        <x:v>local_computed</x:v>
      </x:c>
      <x:c r="AC92" s="14" t="str">
        <x:v>automatic_search_result_requires_manual_review</x:v>
      </x:c>
      <x:c r="AD92" s="4" t="str">
        <x:v>false</x:v>
      </x:c>
      <x:c r="AE92" s="4" t="str">
        <x:v>true</x:v>
      </x:c>
      <x:c r="AF92" s="4" t="str">
        <x:v>false</x:v>
      </x:c>
      <x:c r="AG92" s="14" t="str">
        <x:v>primary_unique</x:v>
      </x:c>
      <x:c r="AH92" s="25" t="str">
        <x:v>false</x:v>
      </x:c>
      <x:c r="AI92" s="4" t="str">
        <x:v>false</x:v>
      </x:c>
      <x:c r="AJ92" s="4" t="str">
        <x:v>preserved_noncounting_source_or_alias</x:v>
      </x:c>
      <x:c r="AK92" s="4" t="str">
        <x:v>false</x:v>
      </x:c>
      <x:c r="AL92" s="4" t="str">
        <x:v>false</x:v>
      </x:c>
      <x:c r="AM92" s="14" t="str"/>
      <x:c r="AN92" s="14" t="str">
        <x:v>not_declared</x:v>
      </x:c>
      <x:c r="AO92" s="4" t="str">
        <x:v>false</x:v>
      </x:c>
      <x:c r="AP92" s="14" t="str"/>
      <x:c r="AQ92" s="4" t="str"/>
    </x:row>
    <x:row r="93" ht="44" customHeight="1">
      <x:c r="A93" s="14" t="str">
        <x:v>WIKITEXT-ES-1085035-172483451</x:v>
      </x:c>
      <x:c r="B93" s="14" t="str">
        <x:v>WIKI-es-1085035-172483451</x:v>
      </x:c>
      <x:c r="C93" s="4" t="str">
        <x:v>es</x:v>
      </x:c>
      <x:c r="D93" s="4" t="str">
        <x:v>es</x:v>
      </x:c>
      <x:c r="E93" s="14" t="str">
        <x:v>standard Spanish</x:v>
      </x:c>
      <x:c r="F93" s="4" t="str">
        <x:v>Spain and Americas</x:v>
      </x:c>
      <x:c r="G93" s="4" t="str">
        <x:v>Latn</x:v>
      </x:c>
      <x:c r="H93" s="4" t="str"/>
      <x:c r="I93" s="4" t="str"/>
      <x:c r="J93" s="4" t="str"/>
      <x:c r="K93" s="17" t="str"/>
      <x:c r="L93" s="4" t="str">
        <x:v>mathematics_mixed</x:v>
      </x:c>
      <x:c r="M93" s="4" t="str">
        <x:v>mathematics_mixed</x:v>
      </x:c>
      <x:c r="N93" s="14" t="str">
        <x:v>unreviewed_partial_api_title_inference</x:v>
      </x:c>
      <x:c r="O93" s="4" t="str">
        <x:v>unresolved_register</x:v>
      </x:c>
      <x:c r="P93" s="14" t="str">
        <x:v>Matriz matemática</x:v>
      </x:c>
      <x:c r="Q93" s="4" t="str">
        <x:v>wikitext</x:v>
      </x:c>
      <x:c r="R93" s="25" t="str">
        <x:v>57972</x:v>
      </x:c>
      <x:c r="S93" s="4" t="str">
        <x:v>09CF7E901FF4989B9DC11E7A142FCCF806CB945335777D7FC6B123BAA760DF99</x:v>
      </x:c>
      <x:c r="T93" s="4" t="str">
        <x:v>09CF7E901FF4989B9DC11E7A142FCCF806CB945335777D7FC6B123BAA760DF99</x:v>
      </x:c>
      <x:c r="U93" s="4" t="str">
        <x:v>source_file_is_canonical_search_text</x:v>
      </x:c>
      <x:c r="V93" s="14" t="str">
        <x:v>https://es.wikipedia.org/w/index.php?curid=1085035&amp;oldid=172483451</x:v>
      </x:c>
      <x:c r="W93" s="14" t="str">
        <x:v>public_http_locator_preserved</x:v>
      </x:c>
      <x:c r="X93" s="4" t="str">
        <x:v>172483451</x:v>
      </x:c>
      <x:c r="Y93" s="14" t="str">
        <x:v>partial_api_acquisition_preserved</x:v>
      </x:c>
      <x:c r="Z93" s="14" t="str">
        <x:v>Wikimedia project text; verify page footer/rightsinfo</x:v>
      </x:c>
      <x:c r="AA93" s="14" t="str">
        <x:v>declared_cc_by_sa_4_0_project_terms_pending_page_match</x:v>
      </x:c>
      <x:c r="AB93" s="4" t="str">
        <x:v>local_computed</x:v>
      </x:c>
      <x:c r="AC93" s="14" t="str">
        <x:v>automatic_search_result_requires_manual_review</x:v>
      </x:c>
      <x:c r="AD93" s="4" t="str">
        <x:v>false</x:v>
      </x:c>
      <x:c r="AE93" s="4" t="str">
        <x:v>true</x:v>
      </x:c>
      <x:c r="AF93" s="4" t="str">
        <x:v>false</x:v>
      </x:c>
      <x:c r="AG93" s="14" t="str">
        <x:v>primary_unique</x:v>
      </x:c>
      <x:c r="AH93" s="25" t="str">
        <x:v>false</x:v>
      </x:c>
      <x:c r="AI93" s="4" t="str">
        <x:v>false</x:v>
      </x:c>
      <x:c r="AJ93" s="4" t="str">
        <x:v>preserved_noncounting_source_or_alias</x:v>
      </x:c>
      <x:c r="AK93" s="4" t="str">
        <x:v>false</x:v>
      </x:c>
      <x:c r="AL93" s="4" t="str">
        <x:v>false</x:v>
      </x:c>
      <x:c r="AM93" s="14" t="str"/>
      <x:c r="AN93" s="14" t="str">
        <x:v>not_declared</x:v>
      </x:c>
      <x:c r="AO93" s="4" t="str">
        <x:v>false</x:v>
      </x:c>
      <x:c r="AP93" s="14" t="str"/>
      <x:c r="AQ93" s="4" t="str"/>
    </x:row>
    <x:row r="94" ht="44" customHeight="1">
      <x:c r="A94" s="14" t="str">
        <x:v>WIKIHTML-ES-12952-173778307</x:v>
      </x:c>
      <x:c r="B94" s="14" t="str">
        <x:v>WIKI-es-12952-173778307</x:v>
      </x:c>
      <x:c r="C94" s="4" t="str">
        <x:v>es</x:v>
      </x:c>
      <x:c r="D94" s="4" t="str">
        <x:v>es</x:v>
      </x:c>
      <x:c r="E94" s="14" t="str">
        <x:v>standard Spanish</x:v>
      </x:c>
      <x:c r="F94" s="4" t="str">
        <x:v>Spain and Americas</x:v>
      </x:c>
      <x:c r="G94" s="4" t="str">
        <x:v>Latn</x:v>
      </x:c>
      <x:c r="H94" s="4" t="str"/>
      <x:c r="I94" s="4" t="str"/>
      <x:c r="J94" s="4" t="str"/>
      <x:c r="K94" s="17" t="str"/>
      <x:c r="L94" s="4" t="str">
        <x:v>abstract_algebra</x:v>
      </x:c>
      <x:c r="M94" s="4" t="str">
        <x:v>abstract_algebra</x:v>
      </x:c>
      <x:c r="N94" s="14" t="str">
        <x:v>manual_topic_review_20260717</x:v>
      </x:c>
      <x:c r="O94" s="4" t="str">
        <x:v>unresolved_register</x:v>
      </x:c>
      <x:c r="P94" s="14" t="str">
        <x:v>Álgebra abstracta</x:v>
      </x:c>
      <x:c r="Q94" s="4" t="str">
        <x:v>html</x:v>
      </x:c>
      <x:c r="R94" s="25" t="str">
        <x:v>223255</x:v>
      </x:c>
      <x:c r="S94" s="4" t="str">
        <x:v>EEBCE0086387EADE2C43A0C2D26391BB2E7F926388AD7101A6318CB910CA4C4C</x:v>
      </x:c>
      <x:c r="T94" s="4" t="str">
        <x:v>9B051CBAC3D690E79837525A6452F61E4F26DE109460F1327628DA05AE0403EE</x:v>
      </x:c>
      <x:c r="U94" s="4" t="str">
        <x:v>derived_visible_text</x:v>
      </x:c>
      <x:c r="V94" s="14" t="str">
        <x:v>https://es.wikipedia.org/w/index.php?curid=12952&amp;oldid=173778307</x:v>
      </x:c>
      <x:c r="W94" s="14" t="str">
        <x:v>public_http_locator_preserved</x:v>
      </x:c>
      <x:c r="X94" s="4" t="str">
        <x:v>173778307</x:v>
      </x:c>
      <x:c r="Y94" s="14" t="str">
        <x:v>native_revision_pinned_context_shelf</x:v>
      </x:c>
      <x:c r="Z94" s="14" t="str">
        <x:v>https://creativecommons.org/licenses/by-sa/4.0/deed.es</x:v>
      </x:c>
      <x:c r="AA94" s="14" t="str">
        <x:v>declared_cc_by_sa_4_0</x:v>
      </x:c>
      <x:c r="AB94" s="4" t="str">
        <x:v>local_computed</x:v>
      </x:c>
      <x:c r="AC94" s="14" t="str">
        <x:v>page_topic_reviewed_term_occurrences_require_context_review</x:v>
      </x:c>
      <x:c r="AD94" s="4" t="str">
        <x:v>true</x:v>
      </x:c>
      <x:c r="AE94" s="4" t="str">
        <x:v>true</x:v>
      </x:c>
      <x:c r="AF94" s="4" t="str">
        <x:v>false</x:v>
      </x:c>
      <x:c r="AG94" s="14" t="str">
        <x:v>primary_unique</x:v>
      </x:c>
      <x:c r="AH94" s="25" t="str">
        <x:v>true</x:v>
      </x:c>
      <x:c r="AI94" s="4" t="str">
        <x:v>false</x:v>
      </x:c>
      <x:c r="AJ94" s="4" t="str">
        <x:v>active_source_body</x:v>
      </x:c>
      <x:c r="AK94" s="4" t="str">
        <x:v>true</x:v>
      </x:c>
      <x:c r="AL94" s="4" t="str">
        <x:v>false</x:v>
      </x:c>
      <x:c r="AM94" s="14" t="str"/>
      <x:c r="AN94" s="14" t="str">
        <x:v>not_declared</x:v>
      </x:c>
      <x:c r="AO94" s="4" t="str">
        <x:v>true</x:v>
      </x:c>
      <x:c r="AP94" s="14" t="str"/>
      <x:c r="AQ94" s="4" t="str"/>
    </x:row>
    <x:row r="95" ht="44" customHeight="1">
      <x:c r="A95" s="14" t="str">
        <x:v>WIKITEXT-ES-2097189-165064293</x:v>
      </x:c>
      <x:c r="B95" s="14" t="str">
        <x:v>WIKI-es-2097189-165064293</x:v>
      </x:c>
      <x:c r="C95" s="4" t="str">
        <x:v>es</x:v>
      </x:c>
      <x:c r="D95" s="4" t="str">
        <x:v>es</x:v>
      </x:c>
      <x:c r="E95" s="14" t="str">
        <x:v>standard Spanish</x:v>
      </x:c>
      <x:c r="F95" s="4" t="str">
        <x:v>Spain and Americas</x:v>
      </x:c>
      <x:c r="G95" s="4" t="str">
        <x:v>Latn</x:v>
      </x:c>
      <x:c r="H95" s="4" t="str"/>
      <x:c r="I95" s="4" t="str"/>
      <x:c r="J95" s="4" t="str"/>
      <x:c r="K95" s="17" t="str"/>
      <x:c r="L95" s="4" t="str">
        <x:v>ring_theory</x:v>
      </x:c>
      <x:c r="M95" s="4" t="str">
        <x:v>ring_theory</x:v>
      </x:c>
      <x:c r="N95" s="14" t="str">
        <x:v>unreviewed_partial_api_title_inference</x:v>
      </x:c>
      <x:c r="O95" s="4" t="str">
        <x:v>unresolved_register</x:v>
      </x:c>
      <x:c r="P95" s="14" t="str">
        <x:v>Ideal teoría de anillos</x:v>
      </x:c>
      <x:c r="Q95" s="4" t="str">
        <x:v>wikitext</x:v>
      </x:c>
      <x:c r="R95" s="25" t="str">
        <x:v>14904</x:v>
      </x:c>
      <x:c r="S95" s="4" t="str">
        <x:v>E7BFB82DE8ECED878E220D35368DA1180594692538BBC1170D4F4DC0923833EA</x:v>
      </x:c>
      <x:c r="T95" s="4" t="str">
        <x:v>E7BFB82DE8ECED878E220D35368DA1180594692538BBC1170D4F4DC0923833EA</x:v>
      </x:c>
      <x:c r="U95" s="4" t="str">
        <x:v>source_file_is_canonical_search_text</x:v>
      </x:c>
      <x:c r="V95" s="14" t="str">
        <x:v>https://es.wikipedia.org/w/index.php?curid=2097189&amp;oldid=165064293</x:v>
      </x:c>
      <x:c r="W95" s="14" t="str">
        <x:v>public_http_locator_preserved</x:v>
      </x:c>
      <x:c r="X95" s="4" t="str">
        <x:v>165064293</x:v>
      </x:c>
      <x:c r="Y95" s="14" t="str">
        <x:v>partial_api_acquisition_preserved</x:v>
      </x:c>
      <x:c r="Z95" s="14" t="str">
        <x:v>Wikimedia project text; verify page footer/rightsinfo</x:v>
      </x:c>
      <x:c r="AA95" s="14" t="str">
        <x:v>declared_cc_by_sa_4_0_project_terms_pending_page_match</x:v>
      </x:c>
      <x:c r="AB95" s="4" t="str">
        <x:v>local_computed</x:v>
      </x:c>
      <x:c r="AC95" s="14" t="str">
        <x:v>automatic_search_result_requires_manual_review</x:v>
      </x:c>
      <x:c r="AD95" s="4" t="str">
        <x:v>false</x:v>
      </x:c>
      <x:c r="AE95" s="4" t="str">
        <x:v>true</x:v>
      </x:c>
      <x:c r="AF95" s="4" t="str">
        <x:v>false</x:v>
      </x:c>
      <x:c r="AG95" s="14" t="str">
        <x:v>primary_unique</x:v>
      </x:c>
      <x:c r="AH95" s="25" t="str">
        <x:v>false</x:v>
      </x:c>
      <x:c r="AI95" s="4" t="str">
        <x:v>false</x:v>
      </x:c>
      <x:c r="AJ95" s="4" t="str">
        <x:v>preserved_noncounting_source_or_alias</x:v>
      </x:c>
      <x:c r="AK95" s="4" t="str">
        <x:v>false</x:v>
      </x:c>
      <x:c r="AL95" s="4" t="str">
        <x:v>false</x:v>
      </x:c>
      <x:c r="AM95" s="14" t="str"/>
      <x:c r="AN95" s="14" t="str">
        <x:v>not_declared</x:v>
      </x:c>
      <x:c r="AO95" s="4" t="str">
        <x:v>false</x:v>
      </x:c>
      <x:c r="AP95" s="14" t="str"/>
      <x:c r="AQ95" s="4" t="str"/>
    </x:row>
    <x:row r="96" ht="44" customHeight="1">
      <x:c r="A96" s="14" t="str">
        <x:v>WIKIHTML-ES-21349-166023447</x:v>
      </x:c>
      <x:c r="B96" s="14" t="str">
        <x:v>WIKI-es-21349-166023447</x:v>
      </x:c>
      <x:c r="C96" s="4" t="str">
        <x:v>es</x:v>
      </x:c>
      <x:c r="D96" s="4" t="str">
        <x:v>es</x:v>
      </x:c>
      <x:c r="E96" s="14" t="str">
        <x:v>standard Spanish</x:v>
      </x:c>
      <x:c r="F96" s="4" t="str">
        <x:v>Spain and Americas</x:v>
      </x:c>
      <x:c r="G96" s="4" t="str">
        <x:v>Latn</x:v>
      </x:c>
      <x:c r="H96" s="4" t="str"/>
      <x:c r="I96" s="4" t="str"/>
      <x:c r="J96" s="4" t="str"/>
      <x:c r="K96" s="17" t="str"/>
      <x:c r="L96" s="4" t="str">
        <x:v>group_theory</x:v>
      </x:c>
      <x:c r="M96" s="4" t="str">
        <x:v>group_theory;abstract_algebra</x:v>
      </x:c>
      <x:c r="N96" s="14" t="str">
        <x:v>manual_topic_review_20260717</x:v>
      </x:c>
      <x:c r="O96" s="4" t="str">
        <x:v>unresolved_register</x:v>
      </x:c>
      <x:c r="P96" s="14" t="str">
        <x:v>Teoría de grupos</x:v>
      </x:c>
      <x:c r="Q96" s="4" t="str">
        <x:v>html</x:v>
      </x:c>
      <x:c r="R96" s="25" t="str">
        <x:v>232671</x:v>
      </x:c>
      <x:c r="S96" s="4" t="str">
        <x:v>9139EFAAAA23BF39BD0E3E3DBF9A49DAD20F0E7629CA31AAE557F6A399712EC9</x:v>
      </x:c>
      <x:c r="T96" s="4" t="str">
        <x:v>80C1D91B4B4D6623581B8EEB3F8ACCDF384BC3B8EB0C26072B5E0A9BA4FAEDFB</x:v>
      </x:c>
      <x:c r="U96" s="4" t="str">
        <x:v>derived_visible_text</x:v>
      </x:c>
      <x:c r="V96" s="14" t="str">
        <x:v>https://es.wikipedia.org/w/index.php?curid=21349&amp;oldid=166023447</x:v>
      </x:c>
      <x:c r="W96" s="14" t="str">
        <x:v>public_http_locator_preserved</x:v>
      </x:c>
      <x:c r="X96" s="4" t="str">
        <x:v>166023447</x:v>
      </x:c>
      <x:c r="Y96" s="14" t="str">
        <x:v>native_revision_pinned_context_shelf</x:v>
      </x:c>
      <x:c r="Z96" s="14" t="str">
        <x:v>https://creativecommons.org/licenses/by-sa/4.0/deed.es</x:v>
      </x:c>
      <x:c r="AA96" s="14" t="str">
        <x:v>declared_cc_by_sa_4_0</x:v>
      </x:c>
      <x:c r="AB96" s="4" t="str">
        <x:v>local_computed</x:v>
      </x:c>
      <x:c r="AC96" s="14" t="str">
        <x:v>page_topic_reviewed_term_occurrences_require_context_review</x:v>
      </x:c>
      <x:c r="AD96" s="4" t="str">
        <x:v>true</x:v>
      </x:c>
      <x:c r="AE96" s="4" t="str">
        <x:v>true</x:v>
      </x:c>
      <x:c r="AF96" s="4" t="str">
        <x:v>false</x:v>
      </x:c>
      <x:c r="AG96" s="14" t="str">
        <x:v>primary_unique</x:v>
      </x:c>
      <x:c r="AH96" s="25" t="str">
        <x:v>true</x:v>
      </x:c>
      <x:c r="AI96" s="4" t="str">
        <x:v>false</x:v>
      </x:c>
      <x:c r="AJ96" s="4" t="str">
        <x:v>active_source_body</x:v>
      </x:c>
      <x:c r="AK96" s="4" t="str">
        <x:v>true</x:v>
      </x:c>
      <x:c r="AL96" s="4" t="str">
        <x:v>false</x:v>
      </x:c>
      <x:c r="AM96" s="14" t="str"/>
      <x:c r="AN96" s="14" t="str">
        <x:v>not_declared</x:v>
      </x:c>
      <x:c r="AO96" s="4" t="str">
        <x:v>true</x:v>
      </x:c>
      <x:c r="AP96" s="14" t="str"/>
      <x:c r="AQ96" s="4" t="str"/>
    </x:row>
    <x:row r="97" ht="44" customHeight="1">
      <x:c r="A97" s="14" t="str">
        <x:v>WIKITEXT-ES-44583-126513682</x:v>
      </x:c>
      <x:c r="B97" s="14" t="str">
        <x:v>WIKI-es-44583-126513682</x:v>
      </x:c>
      <x:c r="C97" s="4" t="str">
        <x:v>es</x:v>
      </x:c>
      <x:c r="D97" s="4" t="str">
        <x:v>es</x:v>
      </x:c>
      <x:c r="E97" s="14" t="str">
        <x:v>standard Spanish</x:v>
      </x:c>
      <x:c r="F97" s="4" t="str">
        <x:v>Spain and Americas</x:v>
      </x:c>
      <x:c r="G97" s="4" t="str">
        <x:v>Latn</x:v>
      </x:c>
      <x:c r="H97" s="4" t="str"/>
      <x:c r="I97" s="4" t="str"/>
      <x:c r="J97" s="4" t="str"/>
      <x:c r="K97" s="17" t="str"/>
      <x:c r="L97" s="4" t="str">
        <x:v>abstract_algebra</x:v>
      </x:c>
      <x:c r="M97" s="4" t="str">
        <x:v>abstract_algebra</x:v>
      </x:c>
      <x:c r="N97" s="14" t="str">
        <x:v>unreviewed_partial_api_title_inference</x:v>
      </x:c>
      <x:c r="O97" s="4" t="str">
        <x:v>unresolved_register</x:v>
      </x:c>
      <x:c r="P97" s="14" t="str">
        <x:v>Representación de álgebras de Lie</x:v>
      </x:c>
      <x:c r="Q97" s="4" t="str">
        <x:v>wikitext</x:v>
      </x:c>
      <x:c r="R97" s="25" t="str">
        <x:v>1141</x:v>
      </x:c>
      <x:c r="S97" s="4" t="str">
        <x:v>EECBEAC480B0531F460137E75C6BAA06B085366DD6DE7E48D7D91EF1E2BA3A43</x:v>
      </x:c>
      <x:c r="T97" s="4" t="str">
        <x:v>EECBEAC480B0531F460137E75C6BAA06B085366DD6DE7E48D7D91EF1E2BA3A43</x:v>
      </x:c>
      <x:c r="U97" s="4" t="str">
        <x:v>source_file_is_canonical_search_text</x:v>
      </x:c>
      <x:c r="V97" s="14" t="str">
        <x:v>https://es.wikipedia.org/w/index.php?curid=44583&amp;oldid=126513682</x:v>
      </x:c>
      <x:c r="W97" s="14" t="str">
        <x:v>public_http_locator_preserved</x:v>
      </x:c>
      <x:c r="X97" s="4" t="str">
        <x:v>126513682</x:v>
      </x:c>
      <x:c r="Y97" s="14" t="str">
        <x:v>partial_api_acquisition_preserved</x:v>
      </x:c>
      <x:c r="Z97" s="14" t="str">
        <x:v>Wikimedia project text; verify page footer/rightsinfo</x:v>
      </x:c>
      <x:c r="AA97" s="14" t="str">
        <x:v>declared_cc_by_sa_4_0_project_terms_pending_page_match</x:v>
      </x:c>
      <x:c r="AB97" s="4" t="str">
        <x:v>local_computed</x:v>
      </x:c>
      <x:c r="AC97" s="14" t="str">
        <x:v>automatic_search_result_requires_manual_review</x:v>
      </x:c>
      <x:c r="AD97" s="4" t="str">
        <x:v>false</x:v>
      </x:c>
      <x:c r="AE97" s="4" t="str">
        <x:v>true</x:v>
      </x:c>
      <x:c r="AF97" s="4" t="str">
        <x:v>false</x:v>
      </x:c>
      <x:c r="AG97" s="14" t="str">
        <x:v>primary_unique</x:v>
      </x:c>
      <x:c r="AH97" s="25" t="str">
        <x:v>false</x:v>
      </x:c>
      <x:c r="AI97" s="4" t="str">
        <x:v>false</x:v>
      </x:c>
      <x:c r="AJ97" s="4" t="str">
        <x:v>preserved_noncounting_source_or_alias</x:v>
      </x:c>
      <x:c r="AK97" s="4" t="str">
        <x:v>false</x:v>
      </x:c>
      <x:c r="AL97" s="4" t="str">
        <x:v>false</x:v>
      </x:c>
      <x:c r="AM97" s="14" t="str"/>
      <x:c r="AN97" s="14" t="str">
        <x:v>not_declared</x:v>
      </x:c>
      <x:c r="AO97" s="4" t="str">
        <x:v>false</x:v>
      </x:c>
      <x:c r="AP97" s="14" t="str"/>
      <x:c r="AQ97" s="4" t="str"/>
    </x:row>
    <x:row r="98" ht="44" customHeight="1">
      <x:c r="A98" s="14" t="str">
        <x:v>WIKITEXT-ES-45406-162912904</x:v>
      </x:c>
      <x:c r="B98" s="14" t="str">
        <x:v>WIKI-es-45406-162912904</x:v>
      </x:c>
      <x:c r="C98" s="4" t="str">
        <x:v>es</x:v>
      </x:c>
      <x:c r="D98" s="4" t="str">
        <x:v>es</x:v>
      </x:c>
      <x:c r="E98" s="14" t="str">
        <x:v>standard Spanish</x:v>
      </x:c>
      <x:c r="F98" s="4" t="str">
        <x:v>Spain and Americas</x:v>
      </x:c>
      <x:c r="G98" s="4" t="str">
        <x:v>Latn</x:v>
      </x:c>
      <x:c r="H98" s="4" t="str"/>
      <x:c r="I98" s="4" t="str"/>
      <x:c r="J98" s="4" t="str"/>
      <x:c r="K98" s="17" t="str"/>
      <x:c r="L98" s="4" t="str">
        <x:v>abstract_algebra</x:v>
      </x:c>
      <x:c r="M98" s="4" t="str">
        <x:v>abstract_algebra</x:v>
      </x:c>
      <x:c r="N98" s="14" t="str">
        <x:v>unreviewed_partial_api_title_inference</x:v>
      </x:c>
      <x:c r="O98" s="4" t="str">
        <x:v>unresolved_register</x:v>
      </x:c>
      <x:c r="P98" s="14" t="str">
        <x:v>Álgebra asociativa</x:v>
      </x:c>
      <x:c r="Q98" s="4" t="str">
        <x:v>wikitext</x:v>
      </x:c>
      <x:c r="R98" s="25" t="str">
        <x:v>6051</x:v>
      </x:c>
      <x:c r="S98" s="4" t="str">
        <x:v>AF4A178FE7185AD52FC65848C4005F55C403C366D201404403566CEA275D2570</x:v>
      </x:c>
      <x:c r="T98" s="4" t="str">
        <x:v>AF4A178FE7185AD52FC65848C4005F55C403C366D201404403566CEA275D2570</x:v>
      </x:c>
      <x:c r="U98" s="4" t="str">
        <x:v>source_file_is_canonical_search_text</x:v>
      </x:c>
      <x:c r="V98" s="14" t="str">
        <x:v>https://es.wikipedia.org/w/index.php?curid=45406&amp;oldid=162912904</x:v>
      </x:c>
      <x:c r="W98" s="14" t="str">
        <x:v>public_http_locator_preserved</x:v>
      </x:c>
      <x:c r="X98" s="4" t="str">
        <x:v>162912904</x:v>
      </x:c>
      <x:c r="Y98" s="14" t="str">
        <x:v>partial_api_acquisition_preserved</x:v>
      </x:c>
      <x:c r="Z98" s="14" t="str">
        <x:v>Wikimedia project text; verify page footer/rightsinfo</x:v>
      </x:c>
      <x:c r="AA98" s="14" t="str">
        <x:v>declared_cc_by_sa_4_0_project_terms_pending_page_match</x:v>
      </x:c>
      <x:c r="AB98" s="4" t="str">
        <x:v>local_computed</x:v>
      </x:c>
      <x:c r="AC98" s="14" t="str">
        <x:v>automatic_search_result_requires_manual_review</x:v>
      </x:c>
      <x:c r="AD98" s="4" t="str">
        <x:v>false</x:v>
      </x:c>
      <x:c r="AE98" s="4" t="str">
        <x:v>true</x:v>
      </x:c>
      <x:c r="AF98" s="4" t="str">
        <x:v>false</x:v>
      </x:c>
      <x:c r="AG98" s="14" t="str">
        <x:v>primary_unique</x:v>
      </x:c>
      <x:c r="AH98" s="25" t="str">
        <x:v>false</x:v>
      </x:c>
      <x:c r="AI98" s="4" t="str">
        <x:v>false</x:v>
      </x:c>
      <x:c r="AJ98" s="4" t="str">
        <x:v>preserved_noncounting_source_or_alias</x:v>
      </x:c>
      <x:c r="AK98" s="4" t="str">
        <x:v>false</x:v>
      </x:c>
      <x:c r="AL98" s="4" t="str">
        <x:v>false</x:v>
      </x:c>
      <x:c r="AM98" s="14" t="str"/>
      <x:c r="AN98" s="14" t="str">
        <x:v>not_declared</x:v>
      </x:c>
      <x:c r="AO98" s="4" t="str">
        <x:v>false</x:v>
      </x:c>
      <x:c r="AP98" s="14" t="str"/>
      <x:c r="AQ98" s="4" t="str"/>
    </x:row>
    <x:row r="99" ht="44" customHeight="1">
      <x:c r="A99" s="14" t="str">
        <x:v>WIKITEXT-ES-46655-163545571</x:v>
      </x:c>
      <x:c r="B99" s="14" t="str">
        <x:v>WIKI-es-46655-163545571</x:v>
      </x:c>
      <x:c r="C99" s="4" t="str">
        <x:v>es</x:v>
      </x:c>
      <x:c r="D99" s="4" t="str">
        <x:v>es</x:v>
      </x:c>
      <x:c r="E99" s="14" t="str">
        <x:v>standard Spanish</x:v>
      </x:c>
      <x:c r="F99" s="4" t="str">
        <x:v>Spain and Americas</x:v>
      </x:c>
      <x:c r="G99" s="4" t="str">
        <x:v>Latn</x:v>
      </x:c>
      <x:c r="H99" s="4" t="str"/>
      <x:c r="I99" s="4" t="str"/>
      <x:c r="J99" s="4" t="str"/>
      <x:c r="K99" s="17" t="str"/>
      <x:c r="L99" s="4" t="str">
        <x:v>module_theory</x:v>
      </x:c>
      <x:c r="M99" s="4" t="str">
        <x:v>module_theory;ring_theory</x:v>
      </x:c>
      <x:c r="N99" s="14" t="str">
        <x:v>manual_topic_review_20260717</x:v>
      </x:c>
      <x:c r="O99" s="4" t="str">
        <x:v>unresolved_register</x:v>
      </x:c>
      <x:c r="P99" s="14" t="str">
        <x:v>Módulo matemática</x:v>
      </x:c>
      <x:c r="Q99" s="4" t="str">
        <x:v>wikitext</x:v>
      </x:c>
      <x:c r="R99" s="25" t="str">
        <x:v>20967</x:v>
      </x:c>
      <x:c r="S99" s="4" t="str">
        <x:v>4F1DEB1A343E766CB345FC705B629D0049867C2E85FB9A6A8CF80600A1B5092A</x:v>
      </x:c>
      <x:c r="T99" s="4" t="str">
        <x:v>4F1DEB1A343E766CB345FC705B629D0049867C2E85FB9A6A8CF80600A1B5092A</x:v>
      </x:c>
      <x:c r="U99" s="4" t="str">
        <x:v>source_file_is_canonical_search_text</x:v>
      </x:c>
      <x:c r="V99" s="14" t="str">
        <x:v>https://es.wikipedia.org/w/index.php?curid=46655&amp;oldid=163545571</x:v>
      </x:c>
      <x:c r="W99" s="14" t="str">
        <x:v>public_http_locator_preserved</x:v>
      </x:c>
      <x:c r="X99" s="4" t="str">
        <x:v>163545571</x:v>
      </x:c>
      <x:c r="Y99" s="14" t="str">
        <x:v>partial_api_acquisition_preserved</x:v>
      </x:c>
      <x:c r="Z99" s="14" t="str">
        <x:v>Wikimedia project text; verify page footer/rightsinfo</x:v>
      </x:c>
      <x:c r="AA99" s="14" t="str">
        <x:v>declared_cc_by_sa_4_0_project_terms_pending_page_match</x:v>
      </x:c>
      <x:c r="AB99" s="4" t="str">
        <x:v>local_computed</x:v>
      </x:c>
      <x:c r="AC99" s="14" t="str">
        <x:v>page_topic_reviewed_term_occurrences_require_context_review</x:v>
      </x:c>
      <x:c r="AD99" s="4" t="str">
        <x:v>true</x:v>
      </x:c>
      <x:c r="AE99" s="4" t="str">
        <x:v>true</x:v>
      </x:c>
      <x:c r="AF99" s="4" t="str">
        <x:v>false</x:v>
      </x:c>
      <x:c r="AG99" s="14" t="str">
        <x:v>primary_unique</x:v>
      </x:c>
      <x:c r="AH99" s="25" t="str">
        <x:v>true</x:v>
      </x:c>
      <x:c r="AI99" s="4" t="str">
        <x:v>false</x:v>
      </x:c>
      <x:c r="AJ99" s="4" t="str">
        <x:v>active_source_body</x:v>
      </x:c>
      <x:c r="AK99" s="4" t="str">
        <x:v>true</x:v>
      </x:c>
      <x:c r="AL99" s="4" t="str">
        <x:v>false</x:v>
      </x:c>
      <x:c r="AM99" s="14" t="str"/>
      <x:c r="AN99" s="14" t="str">
        <x:v>not_declared</x:v>
      </x:c>
      <x:c r="AO99" s="4" t="str">
        <x:v>true</x:v>
      </x:c>
      <x:c r="AP99" s="14" t="str"/>
      <x:c r="AQ99" s="4" t="str"/>
    </x:row>
    <x:row r="100" ht="44" customHeight="1">
      <x:c r="A100" s="14" t="str">
        <x:v>WIKIHTML-ES-46655-163545571</x:v>
      </x:c>
      <x:c r="B100" s="14" t="str">
        <x:v>WIKI-es-46655-163545571</x:v>
      </x:c>
      <x:c r="C100" s="4" t="str">
        <x:v>es</x:v>
      </x:c>
      <x:c r="D100" s="4" t="str">
        <x:v>es</x:v>
      </x:c>
      <x:c r="E100" s="14" t="str">
        <x:v>standard Spanish</x:v>
      </x:c>
      <x:c r="F100" s="4" t="str">
        <x:v>Spain and Americas</x:v>
      </x:c>
      <x:c r="G100" s="4" t="str">
        <x:v>Latn</x:v>
      </x:c>
      <x:c r="H100" s="4" t="str"/>
      <x:c r="I100" s="4" t="str"/>
      <x:c r="J100" s="4" t="str"/>
      <x:c r="K100" s="17" t="str"/>
      <x:c r="L100" s="4" t="str">
        <x:v>module_theory</x:v>
      </x:c>
      <x:c r="M100" s="4" t="str">
        <x:v>module_theory;ring_theory</x:v>
      </x:c>
      <x:c r="N100" s="14" t="str">
        <x:v>manual_topic_review_20260717</x:v>
      </x:c>
      <x:c r="O100" s="4" t="str">
        <x:v>unresolved_register</x:v>
      </x:c>
      <x:c r="P100" s="14" t="str">
        <x:v>Módulo (matemática)</x:v>
      </x:c>
      <x:c r="Q100" s="4" t="str">
        <x:v>html</x:v>
      </x:c>
      <x:c r="R100" s="25" t="str">
        <x:v>164490</x:v>
      </x:c>
      <x:c r="S100" s="4" t="str">
        <x:v>6E5A50DD7B811AAC1F8952DC87D3D424AB9DB1ADC707E12867B5F6D6EA5E60E5</x:v>
      </x:c>
      <x:c r="T100" s="4" t="str">
        <x:v>7D393AABF59B1F0BD29532E161D8804E9C38EB581DC5EEC32AFCE4FD196807FF</x:v>
      </x:c>
      <x:c r="U100" s="4" t="str">
        <x:v>derived_visible_text</x:v>
      </x:c>
      <x:c r="V100" s="14" t="str">
        <x:v>https://es.wikipedia.org/w/index.php?curid=46655&amp;oldid=163545571</x:v>
      </x:c>
      <x:c r="W100" s="14" t="str">
        <x:v>public_http_locator_preserved</x:v>
      </x:c>
      <x:c r="X100" s="4" t="str">
        <x:v>163545571</x:v>
      </x:c>
      <x:c r="Y100" s="14" t="str">
        <x:v>native_revision_pinned_context_shelf</x:v>
      </x:c>
      <x:c r="Z100" s="14" t="str">
        <x:v>https://creativecommons.org/licenses/by-sa/4.0/deed.es</x:v>
      </x:c>
      <x:c r="AA100" s="14" t="str">
        <x:v>declared_cc_by_sa_4_0</x:v>
      </x:c>
      <x:c r="AB100" s="4" t="str">
        <x:v>local_computed</x:v>
      </x:c>
      <x:c r="AC100" s="14" t="str">
        <x:v>page_topic_reviewed_term_occurrences_require_context_review</x:v>
      </x:c>
      <x:c r="AD100" s="4" t="str">
        <x:v>true</x:v>
      </x:c>
      <x:c r="AE100" s="4" t="str">
        <x:v>true</x:v>
      </x:c>
      <x:c r="AF100" s="4" t="str">
        <x:v>false</x:v>
      </x:c>
      <x:c r="AG100" s="14" t="str">
        <x:v>representation_alias_of:WIKITEXT-ES-46655-163545571</x:v>
      </x:c>
      <x:c r="AH100" s="25" t="str">
        <x:v>false</x:v>
      </x:c>
      <x:c r="AI100" s="4" t="str">
        <x:v>false</x:v>
      </x:c>
      <x:c r="AJ100" s="4" t="str">
        <x:v>preserved_noncounting_source_or_alias</x:v>
      </x:c>
      <x:c r="AK100" s="4" t="str">
        <x:v>false</x:v>
      </x:c>
      <x:c r="AL100" s="4" t="str">
        <x:v>false</x:v>
      </x:c>
      <x:c r="AM100" s="14" t="str"/>
      <x:c r="AN100" s="14" t="str">
        <x:v>not_declared</x:v>
      </x:c>
      <x:c r="AO100" s="4" t="str">
        <x:v>false</x:v>
      </x:c>
      <x:c r="AP100" s="14" t="str"/>
      <x:c r="AQ100" s="4" t="str"/>
    </x:row>
    <x:row r="101" ht="44" customHeight="1">
      <x:c r="A101" s="14" t="str">
        <x:v>WIKITEXT-ES-47083-163965223</x:v>
      </x:c>
      <x:c r="B101" s="14" t="str">
        <x:v>WIKI-es-47083-163965223</x:v>
      </x:c>
      <x:c r="C101" s="4" t="str">
        <x:v>es</x:v>
      </x:c>
      <x:c r="D101" s="4" t="str">
        <x:v>es</x:v>
      </x:c>
      <x:c r="E101" s="14" t="str">
        <x:v>standard Spanish</x:v>
      </x:c>
      <x:c r="F101" s="4" t="str">
        <x:v>Spain and Americas</x:v>
      </x:c>
      <x:c r="G101" s="4" t="str">
        <x:v>Latn</x:v>
      </x:c>
      <x:c r="H101" s="4" t="str"/>
      <x:c r="I101" s="4" t="str"/>
      <x:c r="J101" s="4" t="str"/>
      <x:c r="K101" s="17" t="str"/>
      <x:c r="L101" s="4" t="str">
        <x:v>abstract_algebra</x:v>
      </x:c>
      <x:c r="M101" s="4" t="str">
        <x:v>abstract_algebra;field_theory</x:v>
      </x:c>
      <x:c r="N101" s="14" t="str">
        <x:v>manual_topic_review_20260717</x:v>
      </x:c>
      <x:c r="O101" s="4" t="str">
        <x:v>unresolved_register</x:v>
      </x:c>
      <x:c r="P101" s="14" t="str">
        <x:v>Álgebra sobre un cuerpo</x:v>
      </x:c>
      <x:c r="Q101" s="4" t="str">
        <x:v>wikitext</x:v>
      </x:c>
      <x:c r="R101" s="25" t="str">
        <x:v>11526</x:v>
      </x:c>
      <x:c r="S101" s="4" t="str">
        <x:v>0CF37605E587E550DD4EB3390E8ED1632DBA20C91CC646B5702AAB6A37DC8D69</x:v>
      </x:c>
      <x:c r="T101" s="4" t="str">
        <x:v>0CF37605E587E550DD4EB3390E8ED1632DBA20C91CC646B5702AAB6A37DC8D69</x:v>
      </x:c>
      <x:c r="U101" s="4" t="str">
        <x:v>source_file_is_canonical_search_text</x:v>
      </x:c>
      <x:c r="V101" s="14" t="str">
        <x:v>https://es.wikipedia.org/w/index.php?curid=47083&amp;oldid=163965223</x:v>
      </x:c>
      <x:c r="W101" s="14" t="str">
        <x:v>public_http_locator_preserved</x:v>
      </x:c>
      <x:c r="X101" s="4" t="str">
        <x:v>163965223</x:v>
      </x:c>
      <x:c r="Y101" s="14" t="str">
        <x:v>partial_api_acquisition_preserved</x:v>
      </x:c>
      <x:c r="Z101" s="14" t="str">
        <x:v>Wikimedia project text; verify page footer/rightsinfo</x:v>
      </x:c>
      <x:c r="AA101" s="14" t="str">
        <x:v>declared_cc_by_sa_4_0_project_terms_pending_page_match</x:v>
      </x:c>
      <x:c r="AB101" s="4" t="str">
        <x:v>local_computed</x:v>
      </x:c>
      <x:c r="AC101" s="14" t="str">
        <x:v>page_topic_reviewed_term_occurrences_require_context_review</x:v>
      </x:c>
      <x:c r="AD101" s="4" t="str">
        <x:v>true</x:v>
      </x:c>
      <x:c r="AE101" s="4" t="str">
        <x:v>true</x:v>
      </x:c>
      <x:c r="AF101" s="4" t="str">
        <x:v>false</x:v>
      </x:c>
      <x:c r="AG101" s="14" t="str">
        <x:v>primary_unique</x:v>
      </x:c>
      <x:c r="AH101" s="25" t="str">
        <x:v>true</x:v>
      </x:c>
      <x:c r="AI101" s="4" t="str">
        <x:v>false</x:v>
      </x:c>
      <x:c r="AJ101" s="4" t="str">
        <x:v>active_source_body</x:v>
      </x:c>
      <x:c r="AK101" s="4" t="str">
        <x:v>true</x:v>
      </x:c>
      <x:c r="AL101" s="4" t="str">
        <x:v>false</x:v>
      </x:c>
      <x:c r="AM101" s="14" t="str"/>
      <x:c r="AN101" s="14" t="str">
        <x:v>not_declared</x:v>
      </x:c>
      <x:c r="AO101" s="4" t="str">
        <x:v>true</x:v>
      </x:c>
      <x:c r="AP101" s="14" t="str"/>
      <x:c r="AQ101" s="4" t="str"/>
    </x:row>
    <x:row r="102" ht="44" customHeight="1">
      <x:c r="A102" s="14" t="str">
        <x:v>WIKIHTML-ES-47083-163965223</x:v>
      </x:c>
      <x:c r="B102" s="14" t="str">
        <x:v>WIKI-es-47083-163965223</x:v>
      </x:c>
      <x:c r="C102" s="4" t="str">
        <x:v>es</x:v>
      </x:c>
      <x:c r="D102" s="4" t="str">
        <x:v>es</x:v>
      </x:c>
      <x:c r="E102" s="14" t="str">
        <x:v>standard Spanish</x:v>
      </x:c>
      <x:c r="F102" s="4" t="str">
        <x:v>Spain and Americas</x:v>
      </x:c>
      <x:c r="G102" s="4" t="str">
        <x:v>Latn</x:v>
      </x:c>
      <x:c r="H102" s="4" t="str"/>
      <x:c r="I102" s="4" t="str"/>
      <x:c r="J102" s="4" t="str"/>
      <x:c r="K102" s="17" t="str"/>
      <x:c r="L102" s="4" t="str">
        <x:v>abstract_algebra</x:v>
      </x:c>
      <x:c r="M102" s="4" t="str">
        <x:v>abstract_algebra;field_theory</x:v>
      </x:c>
      <x:c r="N102" s="14" t="str">
        <x:v>manual_topic_review_20260717</x:v>
      </x:c>
      <x:c r="O102" s="4" t="str">
        <x:v>unresolved_register</x:v>
      </x:c>
      <x:c r="P102" s="14" t="str">
        <x:v>Álgebra sobre un cuerpo</x:v>
      </x:c>
      <x:c r="Q102" s="4" t="str">
        <x:v>html</x:v>
      </x:c>
      <x:c r="R102" s="25" t="str">
        <x:v>187264</x:v>
      </x:c>
      <x:c r="S102" s="4" t="str">
        <x:v>F3F26EC1193C2C2CA29E5BAA363F5987D573B804A76B372584D10D357087945F</x:v>
      </x:c>
      <x:c r="T102" s="4" t="str">
        <x:v>738255EDAFFB86378546D52BD2587AE18A4184FD4A22D6A35B512F1CDC2FE9A9</x:v>
      </x:c>
      <x:c r="U102" s="4" t="str">
        <x:v>derived_visible_text</x:v>
      </x:c>
      <x:c r="V102" s="14" t="str">
        <x:v>https://es.wikipedia.org/w/index.php?curid=47083&amp;oldid=163965223</x:v>
      </x:c>
      <x:c r="W102" s="14" t="str">
        <x:v>public_http_locator_preserved</x:v>
      </x:c>
      <x:c r="X102" s="4" t="str">
        <x:v>163965223</x:v>
      </x:c>
      <x:c r="Y102" s="14" t="str">
        <x:v>native_revision_pinned_context_shelf</x:v>
      </x:c>
      <x:c r="Z102" s="14" t="str">
        <x:v>https://creativecommons.org/licenses/by-sa/4.0/deed.es</x:v>
      </x:c>
      <x:c r="AA102" s="14" t="str">
        <x:v>declared_cc_by_sa_4_0</x:v>
      </x:c>
      <x:c r="AB102" s="4" t="str">
        <x:v>local_computed</x:v>
      </x:c>
      <x:c r="AC102" s="14" t="str">
        <x:v>page_topic_reviewed_term_occurrences_require_context_review</x:v>
      </x:c>
      <x:c r="AD102" s="4" t="str">
        <x:v>true</x:v>
      </x:c>
      <x:c r="AE102" s="4" t="str">
        <x:v>true</x:v>
      </x:c>
      <x:c r="AF102" s="4" t="str">
        <x:v>false</x:v>
      </x:c>
      <x:c r="AG102" s="14" t="str">
        <x:v>representation_alias_of:WIKITEXT-ES-47083-163965223</x:v>
      </x:c>
      <x:c r="AH102" s="25" t="str">
        <x:v>false</x:v>
      </x:c>
      <x:c r="AI102" s="4" t="str">
        <x:v>false</x:v>
      </x:c>
      <x:c r="AJ102" s="4" t="str">
        <x:v>preserved_noncounting_source_or_alias</x:v>
      </x:c>
      <x:c r="AK102" s="4" t="str">
        <x:v>false</x:v>
      </x:c>
      <x:c r="AL102" s="4" t="str">
        <x:v>false</x:v>
      </x:c>
      <x:c r="AM102" s="14" t="str"/>
      <x:c r="AN102" s="14" t="str">
        <x:v>not_declared</x:v>
      </x:c>
      <x:c r="AO102" s="4" t="str">
        <x:v>false</x:v>
      </x:c>
      <x:c r="AP102" s="14" t="str"/>
      <x:c r="AQ102" s="4" t="str"/>
    </x:row>
    <x:row r="103" ht="44" customHeight="1">
      <x:c r="A103" s="14" t="str">
        <x:v>WIKITEXT-ES-60286-171959514</x:v>
      </x:c>
      <x:c r="B103" s="14" t="str">
        <x:v>WIKI-es-60286-171959514</x:v>
      </x:c>
      <x:c r="C103" s="4" t="str">
        <x:v>es</x:v>
      </x:c>
      <x:c r="D103" s="4" t="str">
        <x:v>es</x:v>
      </x:c>
      <x:c r="E103" s="14" t="str">
        <x:v>standard Spanish</x:v>
      </x:c>
      <x:c r="F103" s="4" t="str">
        <x:v>Spain and Americas</x:v>
      </x:c>
      <x:c r="G103" s="4" t="str">
        <x:v>Latn</x:v>
      </x:c>
      <x:c r="H103" s="4" t="str"/>
      <x:c r="I103" s="4" t="str"/>
      <x:c r="J103" s="4" t="str"/>
      <x:c r="K103" s="17" t="str"/>
      <x:c r="L103" s="4" t="str">
        <x:v>proof_register</x:v>
      </x:c>
      <x:c r="M103" s="4" t="str">
        <x:v>proof_register;mathematics_general</x:v>
      </x:c>
      <x:c r="N103" s="14" t="str">
        <x:v>manual_topic_review_20260717</x:v>
      </x:c>
      <x:c r="O103" s="4" t="str">
        <x:v>unresolved_register</x:v>
      </x:c>
      <x:c r="P103" s="14" t="str">
        <x:v>Demostración matemática</x:v>
      </x:c>
      <x:c r="Q103" s="4" t="str">
        <x:v>wikitext</x:v>
      </x:c>
      <x:c r="R103" s="25" t="str">
        <x:v>48511</x:v>
      </x:c>
      <x:c r="S103" s="4" t="str">
        <x:v>D1397E6FCC62486AB37230105425C948C6E1A27ECE495E22964721CF1A613961</x:v>
      </x:c>
      <x:c r="T103" s="4" t="str">
        <x:v>D1397E6FCC62486AB37230105425C948C6E1A27ECE495E22964721CF1A613961</x:v>
      </x:c>
      <x:c r="U103" s="4" t="str">
        <x:v>source_file_is_canonical_search_text</x:v>
      </x:c>
      <x:c r="V103" s="14" t="str">
        <x:v>https://es.wikipedia.org/w/index.php?curid=60286&amp;oldid=171959514</x:v>
      </x:c>
      <x:c r="W103" s="14" t="str">
        <x:v>public_http_locator_preserved</x:v>
      </x:c>
      <x:c r="X103" s="4" t="str">
        <x:v>171959514</x:v>
      </x:c>
      <x:c r="Y103" s="14" t="str">
        <x:v>partial_api_acquisition_preserved</x:v>
      </x:c>
      <x:c r="Z103" s="14" t="str">
        <x:v>Wikimedia project text; verify page footer/rightsinfo</x:v>
      </x:c>
      <x:c r="AA103" s="14" t="str">
        <x:v>declared_cc_by_sa_4_0_project_terms_pending_page_match</x:v>
      </x:c>
      <x:c r="AB103" s="4" t="str">
        <x:v>local_computed</x:v>
      </x:c>
      <x:c r="AC103" s="14" t="str">
        <x:v>page_topic_reviewed_term_occurrences_require_context_review</x:v>
      </x:c>
      <x:c r="AD103" s="4" t="str">
        <x:v>true</x:v>
      </x:c>
      <x:c r="AE103" s="4" t="str">
        <x:v>true</x:v>
      </x:c>
      <x:c r="AF103" s="4" t="str">
        <x:v>false</x:v>
      </x:c>
      <x:c r="AG103" s="14" t="str">
        <x:v>primary_unique</x:v>
      </x:c>
      <x:c r="AH103" s="25" t="str">
        <x:v>true</x:v>
      </x:c>
      <x:c r="AI103" s="4" t="str">
        <x:v>false</x:v>
      </x:c>
      <x:c r="AJ103" s="4" t="str">
        <x:v>active_source_body</x:v>
      </x:c>
      <x:c r="AK103" s="4" t="str">
        <x:v>true</x:v>
      </x:c>
      <x:c r="AL103" s="4" t="str">
        <x:v>false</x:v>
      </x:c>
      <x:c r="AM103" s="14" t="str"/>
      <x:c r="AN103" s="14" t="str">
        <x:v>not_declared</x:v>
      </x:c>
      <x:c r="AO103" s="4" t="str">
        <x:v>false</x:v>
      </x:c>
      <x:c r="AP103" s="14" t="str"/>
      <x:c r="AQ103" s="4" t="str"/>
    </x:row>
    <x:row r="104" ht="44" customHeight="1">
      <x:c r="A104" s="14" t="str">
        <x:v>WIKIHTML-ES-60286-171959514</x:v>
      </x:c>
      <x:c r="B104" s="14" t="str">
        <x:v>WIKI-es-60286-171959514</x:v>
      </x:c>
      <x:c r="C104" s="4" t="str">
        <x:v>es</x:v>
      </x:c>
      <x:c r="D104" s="4" t="str">
        <x:v>es</x:v>
      </x:c>
      <x:c r="E104" s="14" t="str">
        <x:v>standard Spanish</x:v>
      </x:c>
      <x:c r="F104" s="4" t="str">
        <x:v>Spain and Americas</x:v>
      </x:c>
      <x:c r="G104" s="4" t="str">
        <x:v>Latn</x:v>
      </x:c>
      <x:c r="H104" s="4" t="str"/>
      <x:c r="I104" s="4" t="str"/>
      <x:c r="J104" s="4" t="str"/>
      <x:c r="K104" s="17" t="str"/>
      <x:c r="L104" s="4" t="str">
        <x:v>proof_register</x:v>
      </x:c>
      <x:c r="M104" s="4" t="str">
        <x:v>proof_register;mathematics_general</x:v>
      </x:c>
      <x:c r="N104" s="14" t="str">
        <x:v>manual_topic_review_20260717</x:v>
      </x:c>
      <x:c r="O104" s="4" t="str">
        <x:v>unresolved_register</x:v>
      </x:c>
      <x:c r="P104" s="14" t="str">
        <x:v>Demostración matemática</x:v>
      </x:c>
      <x:c r="Q104" s="4" t="str">
        <x:v>html</x:v>
      </x:c>
      <x:c r="R104" s="25" t="str">
        <x:v>377104</x:v>
      </x:c>
      <x:c r="S104" s="4" t="str">
        <x:v>33379DAE7C71AA40B37300BBC8A29CDF2BAD65BDA042EC51BA041EAB46479F2D</x:v>
      </x:c>
      <x:c r="T104" s="4" t="str">
        <x:v>0217CE7D91E8E51DDD9C3A75ADD634CEC3867CB424E21740CF1DA2421B56053E</x:v>
      </x:c>
      <x:c r="U104" s="4" t="str">
        <x:v>derived_visible_text</x:v>
      </x:c>
      <x:c r="V104" s="14" t="str">
        <x:v>https://es.wikipedia.org/w/index.php?curid=60286&amp;oldid=171959514</x:v>
      </x:c>
      <x:c r="W104" s="14" t="str">
        <x:v>public_http_locator_preserved</x:v>
      </x:c>
      <x:c r="X104" s="4" t="str">
        <x:v>171959514</x:v>
      </x:c>
      <x:c r="Y104" s="14" t="str">
        <x:v>native_revision_pinned_context_shelf</x:v>
      </x:c>
      <x:c r="Z104" s="14" t="str">
        <x:v>https://creativecommons.org/licenses/by-sa/4.0/deed.es</x:v>
      </x:c>
      <x:c r="AA104" s="14" t="str">
        <x:v>declared_cc_by_sa_4_0</x:v>
      </x:c>
      <x:c r="AB104" s="4" t="str">
        <x:v>local_computed</x:v>
      </x:c>
      <x:c r="AC104" s="14" t="str">
        <x:v>page_topic_reviewed_term_occurrences_require_context_review</x:v>
      </x:c>
      <x:c r="AD104" s="4" t="str">
        <x:v>true</x:v>
      </x:c>
      <x:c r="AE104" s="4" t="str">
        <x:v>true</x:v>
      </x:c>
      <x:c r="AF104" s="4" t="str">
        <x:v>false</x:v>
      </x:c>
      <x:c r="AG104" s="14" t="str">
        <x:v>representation_alias_of:WIKITEXT-ES-60286-171959514</x:v>
      </x:c>
      <x:c r="AH104" s="25" t="str">
        <x:v>false</x:v>
      </x:c>
      <x:c r="AI104" s="4" t="str">
        <x:v>false</x:v>
      </x:c>
      <x:c r="AJ104" s="4" t="str">
        <x:v>preserved_noncounting_source_or_alias</x:v>
      </x:c>
      <x:c r="AK104" s="4" t="str">
        <x:v>false</x:v>
      </x:c>
      <x:c r="AL104" s="4" t="str">
        <x:v>false</x:v>
      </x:c>
      <x:c r="AM104" s="14" t="str"/>
      <x:c r="AN104" s="14" t="str">
        <x:v>not_declared</x:v>
      </x:c>
      <x:c r="AO104" s="4" t="str">
        <x:v>false</x:v>
      </x:c>
      <x:c r="AP104" s="14" t="str"/>
      <x:c r="AQ104" s="4" t="str"/>
    </x:row>
    <x:row r="105" ht="44" customHeight="1">
      <x:c r="A105" s="14" t="str">
        <x:v>WIKITEXT-ES-6316-174176079</x:v>
      </x:c>
      <x:c r="B105" s="14" t="str">
        <x:v>WIKI-es-6316-174176079</x:v>
      </x:c>
      <x:c r="C105" s="4" t="str">
        <x:v>es</x:v>
      </x:c>
      <x:c r="D105" s="4" t="str">
        <x:v>es</x:v>
      </x:c>
      <x:c r="E105" s="14" t="str">
        <x:v>standard Spanish</x:v>
      </x:c>
      <x:c r="F105" s="4" t="str">
        <x:v>Spain and Americas</x:v>
      </x:c>
      <x:c r="G105" s="4" t="str">
        <x:v>Latn</x:v>
      </x:c>
      <x:c r="H105" s="4" t="str"/>
      <x:c r="I105" s="4" t="str"/>
      <x:c r="J105" s="4" t="str"/>
      <x:c r="K105" s="17" t="str"/>
      <x:c r="L105" s="4" t="str">
        <x:v>abstract_algebra</x:v>
      </x:c>
      <x:c r="M105" s="4" t="str">
        <x:v>abstract_algebra</x:v>
      </x:c>
      <x:c r="N105" s="14" t="str">
        <x:v>unreviewed_partial_api_title_inference</x:v>
      </x:c>
      <x:c r="O105" s="4" t="str">
        <x:v>unresolved_register</x:v>
      </x:c>
      <x:c r="P105" s="14" t="str">
        <x:v>Álgebra</x:v>
      </x:c>
      <x:c r="Q105" s="4" t="str">
        <x:v>wikitext</x:v>
      </x:c>
      <x:c r="R105" s="25" t="str">
        <x:v>33036</x:v>
      </x:c>
      <x:c r="S105" s="4" t="str">
        <x:v>509A8F2138DF609E74DFE5AEF63E57A48DDA74BB3726E8BD317957CE47F10803</x:v>
      </x:c>
      <x:c r="T105" s="4" t="str">
        <x:v>509A8F2138DF609E74DFE5AEF63E57A48DDA74BB3726E8BD317957CE47F10803</x:v>
      </x:c>
      <x:c r="U105" s="4" t="str">
        <x:v>source_file_is_canonical_search_text</x:v>
      </x:c>
      <x:c r="V105" s="14" t="str">
        <x:v>https://es.wikipedia.org/w/index.php?curid=6316&amp;oldid=174176079</x:v>
      </x:c>
      <x:c r="W105" s="14" t="str">
        <x:v>public_http_locator_preserved</x:v>
      </x:c>
      <x:c r="X105" s="4" t="str">
        <x:v>174176079</x:v>
      </x:c>
      <x:c r="Y105" s="14" t="str">
        <x:v>partial_api_acquisition_preserved</x:v>
      </x:c>
      <x:c r="Z105" s="14" t="str">
        <x:v>Wikimedia project text; verify page footer/rightsinfo</x:v>
      </x:c>
      <x:c r="AA105" s="14" t="str">
        <x:v>declared_cc_by_sa_4_0_project_terms_pending_page_match</x:v>
      </x:c>
      <x:c r="AB105" s="4" t="str">
        <x:v>local_computed</x:v>
      </x:c>
      <x:c r="AC105" s="14" t="str">
        <x:v>automatic_search_result_requires_manual_review</x:v>
      </x:c>
      <x:c r="AD105" s="4" t="str">
        <x:v>false</x:v>
      </x:c>
      <x:c r="AE105" s="4" t="str">
        <x:v>true</x:v>
      </x:c>
      <x:c r="AF105" s="4" t="str">
        <x:v>false</x:v>
      </x:c>
      <x:c r="AG105" s="14" t="str">
        <x:v>primary_unique</x:v>
      </x:c>
      <x:c r="AH105" s="25" t="str">
        <x:v>false</x:v>
      </x:c>
      <x:c r="AI105" s="4" t="str">
        <x:v>false</x:v>
      </x:c>
      <x:c r="AJ105" s="4" t="str">
        <x:v>preserved_noncounting_source_or_alias</x:v>
      </x:c>
      <x:c r="AK105" s="4" t="str">
        <x:v>false</x:v>
      </x:c>
      <x:c r="AL105" s="4" t="str">
        <x:v>false</x:v>
      </x:c>
      <x:c r="AM105" s="14" t="str"/>
      <x:c r="AN105" s="14" t="str">
        <x:v>not_declared</x:v>
      </x:c>
      <x:c r="AO105" s="4" t="str">
        <x:v>false</x:v>
      </x:c>
      <x:c r="AP105" s="14" t="str"/>
      <x:c r="AQ105" s="4" t="str"/>
    </x:row>
    <x:row r="106" ht="44" customHeight="1">
      <x:c r="A106" s="14" t="str">
        <x:v>WIKITEXT-ES-7008-171367358</x:v>
      </x:c>
      <x:c r="B106" s="14" t="str">
        <x:v>WIKI-es-7008-171367358</x:v>
      </x:c>
      <x:c r="C106" s="4" t="str">
        <x:v>es</x:v>
      </x:c>
      <x:c r="D106" s="4" t="str">
        <x:v>es</x:v>
      </x:c>
      <x:c r="E106" s="14" t="str">
        <x:v>standard Spanish</x:v>
      </x:c>
      <x:c r="F106" s="4" t="str">
        <x:v>Spain and Americas</x:v>
      </x:c>
      <x:c r="G106" s="4" t="str">
        <x:v>Latn</x:v>
      </x:c>
      <x:c r="H106" s="4" t="str"/>
      <x:c r="I106" s="4" t="str"/>
      <x:c r="J106" s="4" t="str"/>
      <x:c r="K106" s="17" t="str"/>
      <x:c r="L106" s="4" t="str">
        <x:v>abstract_algebra</x:v>
      </x:c>
      <x:c r="M106" s="4" t="str">
        <x:v>abstract_algebra</x:v>
      </x:c>
      <x:c r="N106" s="14" t="str">
        <x:v>unreviewed_partial_api_title_inference</x:v>
      </x:c>
      <x:c r="O106" s="4" t="str">
        <x:v>unresolved_register</x:v>
      </x:c>
      <x:c r="P106" s="14" t="str">
        <x:v>Teorema fundamental del álgebra</x:v>
      </x:c>
      <x:c r="Q106" s="4" t="str">
        <x:v>wikitext</x:v>
      </x:c>
      <x:c r="R106" s="25" t="str">
        <x:v>29696</x:v>
      </x:c>
      <x:c r="S106" s="4" t="str">
        <x:v>92308123664050907F694475211394AD2342136EA262B43B8A36AE5F56EE56B7</x:v>
      </x:c>
      <x:c r="T106" s="4" t="str">
        <x:v>92308123664050907F694475211394AD2342136EA262B43B8A36AE5F56EE56B7</x:v>
      </x:c>
      <x:c r="U106" s="4" t="str">
        <x:v>source_file_is_canonical_search_text</x:v>
      </x:c>
      <x:c r="V106" s="14" t="str">
        <x:v>https://es.wikipedia.org/w/index.php?curid=7008&amp;oldid=171367358</x:v>
      </x:c>
      <x:c r="W106" s="14" t="str">
        <x:v>public_http_locator_preserved</x:v>
      </x:c>
      <x:c r="X106" s="4" t="str">
        <x:v>171367358</x:v>
      </x:c>
      <x:c r="Y106" s="14" t="str">
        <x:v>partial_api_acquisition_preserved</x:v>
      </x:c>
      <x:c r="Z106" s="14" t="str">
        <x:v>Wikimedia project text; verify page footer/rightsinfo</x:v>
      </x:c>
      <x:c r="AA106" s="14" t="str">
        <x:v>declared_cc_by_sa_4_0_project_terms_pending_page_match</x:v>
      </x:c>
      <x:c r="AB106" s="4" t="str">
        <x:v>local_computed</x:v>
      </x:c>
      <x:c r="AC106" s="14" t="str">
        <x:v>automatic_search_result_requires_manual_review</x:v>
      </x:c>
      <x:c r="AD106" s="4" t="str">
        <x:v>false</x:v>
      </x:c>
      <x:c r="AE106" s="4" t="str">
        <x:v>true</x:v>
      </x:c>
      <x:c r="AF106" s="4" t="str">
        <x:v>false</x:v>
      </x:c>
      <x:c r="AG106" s="14" t="str">
        <x:v>primary_unique</x:v>
      </x:c>
      <x:c r="AH106" s="25" t="str">
        <x:v>false</x:v>
      </x:c>
      <x:c r="AI106" s="4" t="str">
        <x:v>false</x:v>
      </x:c>
      <x:c r="AJ106" s="4" t="str">
        <x:v>preserved_noncounting_source_or_alias</x:v>
      </x:c>
      <x:c r="AK106" s="4" t="str">
        <x:v>false</x:v>
      </x:c>
      <x:c r="AL106" s="4" t="str">
        <x:v>false</x:v>
      </x:c>
      <x:c r="AM106" s="14" t="str"/>
      <x:c r="AN106" s="14" t="str">
        <x:v>not_declared</x:v>
      </x:c>
      <x:c r="AO106" s="4" t="str">
        <x:v>false</x:v>
      </x:c>
      <x:c r="AP106" s="14" t="str"/>
      <x:c r="AQ106" s="4" t="str"/>
    </x:row>
    <x:row r="107" ht="44" customHeight="1">
      <x:c r="A107" s="14" t="str">
        <x:v>WIKITEXT-ES-9303-172514148</x:v>
      </x:c>
      <x:c r="B107" s="14" t="str">
        <x:v>WIKI-es-9303-172514148</x:v>
      </x:c>
      <x:c r="C107" s="4" t="str">
        <x:v>es</x:v>
      </x:c>
      <x:c r="D107" s="4" t="str">
        <x:v>es</x:v>
      </x:c>
      <x:c r="E107" s="14" t="str">
        <x:v>standard Spanish</x:v>
      </x:c>
      <x:c r="F107" s="4" t="str">
        <x:v>Spain and Americas</x:v>
      </x:c>
      <x:c r="G107" s="4" t="str">
        <x:v>Latn</x:v>
      </x:c>
      <x:c r="H107" s="4" t="str"/>
      <x:c r="I107" s="4" t="str"/>
      <x:c r="J107" s="4" t="str"/>
      <x:c r="K107" s="17" t="str"/>
      <x:c r="L107" s="4" t="str">
        <x:v>ring_theory</x:v>
      </x:c>
      <x:c r="M107" s="4" t="str">
        <x:v>ring_theory;abstract_algebra</x:v>
      </x:c>
      <x:c r="N107" s="14" t="str">
        <x:v>manual_topic_review_20260717</x:v>
      </x:c>
      <x:c r="O107" s="4" t="str">
        <x:v>unresolved_register</x:v>
      </x:c>
      <x:c r="P107" s="14" t="str">
        <x:v>Anillo matemática</x:v>
      </x:c>
      <x:c r="Q107" s="4" t="str">
        <x:v>wikitext</x:v>
      </x:c>
      <x:c r="R107" s="25" t="str">
        <x:v>26290</x:v>
      </x:c>
      <x:c r="S107" s="4" t="str">
        <x:v>9551103B656BF02CE03BE7ED701B67B4EBBFF345C17D41B0F2F50187E880C168</x:v>
      </x:c>
      <x:c r="T107" s="4" t="str">
        <x:v>9551103B656BF02CE03BE7ED701B67B4EBBFF345C17D41B0F2F50187E880C168</x:v>
      </x:c>
      <x:c r="U107" s="4" t="str">
        <x:v>source_file_is_canonical_search_text</x:v>
      </x:c>
      <x:c r="V107" s="14" t="str">
        <x:v>https://es.wikipedia.org/w/index.php?curid=9303&amp;oldid=172514148</x:v>
      </x:c>
      <x:c r="W107" s="14" t="str">
        <x:v>public_http_locator_preserved</x:v>
      </x:c>
      <x:c r="X107" s="4" t="str">
        <x:v>172514148</x:v>
      </x:c>
      <x:c r="Y107" s="14" t="str">
        <x:v>partial_api_acquisition_preserved</x:v>
      </x:c>
      <x:c r="Z107" s="14" t="str">
        <x:v>Wikimedia project text; verify page footer/rightsinfo</x:v>
      </x:c>
      <x:c r="AA107" s="14" t="str">
        <x:v>declared_cc_by_sa_4_0_project_terms_pending_page_match</x:v>
      </x:c>
      <x:c r="AB107" s="4" t="str">
        <x:v>local_computed</x:v>
      </x:c>
      <x:c r="AC107" s="14" t="str">
        <x:v>page_topic_reviewed_term_occurrences_require_context_review</x:v>
      </x:c>
      <x:c r="AD107" s="4" t="str">
        <x:v>true</x:v>
      </x:c>
      <x:c r="AE107" s="4" t="str">
        <x:v>true</x:v>
      </x:c>
      <x:c r="AF107" s="4" t="str">
        <x:v>false</x:v>
      </x:c>
      <x:c r="AG107" s="14" t="str">
        <x:v>primary_unique</x:v>
      </x:c>
      <x:c r="AH107" s="25" t="str">
        <x:v>true</x:v>
      </x:c>
      <x:c r="AI107" s="4" t="str">
        <x:v>false</x:v>
      </x:c>
      <x:c r="AJ107" s="4" t="str">
        <x:v>active_source_body</x:v>
      </x:c>
      <x:c r="AK107" s="4" t="str">
        <x:v>true</x:v>
      </x:c>
      <x:c r="AL107" s="4" t="str">
        <x:v>false</x:v>
      </x:c>
      <x:c r="AM107" s="14" t="str"/>
      <x:c r="AN107" s="14" t="str">
        <x:v>not_declared</x:v>
      </x:c>
      <x:c r="AO107" s="4" t="str">
        <x:v>true</x:v>
      </x:c>
      <x:c r="AP107" s="14" t="str"/>
      <x:c r="AQ107" s="4" t="str"/>
    </x:row>
    <x:row r="108" ht="44" customHeight="1">
      <x:c r="A108" s="14" t="str">
        <x:v>WIKIHTML-ES-9303-172514148</x:v>
      </x:c>
      <x:c r="B108" s="14" t="str">
        <x:v>WIKI-es-9303-172514148</x:v>
      </x:c>
      <x:c r="C108" s="4" t="str">
        <x:v>es</x:v>
      </x:c>
      <x:c r="D108" s="4" t="str">
        <x:v>es</x:v>
      </x:c>
      <x:c r="E108" s="14" t="str">
        <x:v>standard Spanish</x:v>
      </x:c>
      <x:c r="F108" s="4" t="str">
        <x:v>Spain and Americas</x:v>
      </x:c>
      <x:c r="G108" s="4" t="str">
        <x:v>Latn</x:v>
      </x:c>
      <x:c r="H108" s="4" t="str"/>
      <x:c r="I108" s="4" t="str"/>
      <x:c r="J108" s="4" t="str"/>
      <x:c r="K108" s="17" t="str"/>
      <x:c r="L108" s="4" t="str">
        <x:v>ring_theory</x:v>
      </x:c>
      <x:c r="M108" s="4" t="str">
        <x:v>ring_theory;abstract_algebra</x:v>
      </x:c>
      <x:c r="N108" s="14" t="str">
        <x:v>manual_topic_review_20260717</x:v>
      </x:c>
      <x:c r="O108" s="4" t="str">
        <x:v>unresolved_register</x:v>
      </x:c>
      <x:c r="P108" s="14" t="str">
        <x:v>Anillo (matemática)</x:v>
      </x:c>
      <x:c r="Q108" s="4" t="str">
        <x:v>html</x:v>
      </x:c>
      <x:c r="R108" s="25" t="str">
        <x:v>334583</x:v>
      </x:c>
      <x:c r="S108" s="4" t="str">
        <x:v>C1A75F20EFD9ED929100BBBA94CF76FF5AE717C0F85D1E6CCE67C2925D91D2C6</x:v>
      </x:c>
      <x:c r="T108" s="4" t="str">
        <x:v>6E35CCFEBB3238D93905D2B5E0D3D26BA8B6CDF4C517AD065AF7A944F4D29F58</x:v>
      </x:c>
      <x:c r="U108" s="4" t="str">
        <x:v>derived_visible_text</x:v>
      </x:c>
      <x:c r="V108" s="14" t="str">
        <x:v>https://es.wikipedia.org/w/index.php?curid=9303&amp;oldid=172514148</x:v>
      </x:c>
      <x:c r="W108" s="14" t="str">
        <x:v>public_http_locator_preserved</x:v>
      </x:c>
      <x:c r="X108" s="4" t="str">
        <x:v>172514148</x:v>
      </x:c>
      <x:c r="Y108" s="14" t="str">
        <x:v>native_revision_pinned_context_shelf</x:v>
      </x:c>
      <x:c r="Z108" s="14" t="str">
        <x:v>https://creativecommons.org/licenses/by-sa/4.0/deed.es</x:v>
      </x:c>
      <x:c r="AA108" s="14" t="str">
        <x:v>declared_cc_by_sa_4_0</x:v>
      </x:c>
      <x:c r="AB108" s="4" t="str">
        <x:v>local_computed</x:v>
      </x:c>
      <x:c r="AC108" s="14" t="str">
        <x:v>page_topic_reviewed_term_occurrences_require_context_review</x:v>
      </x:c>
      <x:c r="AD108" s="4" t="str">
        <x:v>true</x:v>
      </x:c>
      <x:c r="AE108" s="4" t="str">
        <x:v>true</x:v>
      </x:c>
      <x:c r="AF108" s="4" t="str">
        <x:v>false</x:v>
      </x:c>
      <x:c r="AG108" s="14" t="str">
        <x:v>representation_alias_of:WIKITEXT-ES-9303-172514148</x:v>
      </x:c>
      <x:c r="AH108" s="25" t="str">
        <x:v>false</x:v>
      </x:c>
      <x:c r="AI108" s="4" t="str">
        <x:v>false</x:v>
      </x:c>
      <x:c r="AJ108" s="4" t="str">
        <x:v>preserved_noncounting_source_or_alias</x:v>
      </x:c>
      <x:c r="AK108" s="4" t="str">
        <x:v>false</x:v>
      </x:c>
      <x:c r="AL108" s="4" t="str">
        <x:v>false</x:v>
      </x:c>
      <x:c r="AM108" s="14" t="str"/>
      <x:c r="AN108" s="14" t="str">
        <x:v>not_declared</x:v>
      </x:c>
      <x:c r="AO108" s="4" t="str">
        <x:v>false</x:v>
      </x:c>
      <x:c r="AP108" s="14" t="str"/>
      <x:c r="AQ108" s="4" t="str"/>
    </x:row>
    <x:row r="109" ht="44" customHeight="1">
      <x:c r="A109" s="14" t="str">
        <x:v>WIKITEXT-FR-12834577-215067317</x:v>
      </x:c>
      <x:c r="B109" s="14" t="str">
        <x:v>WIKI-fr-12834577-215067317</x:v>
      </x:c>
      <x:c r="C109" s="4" t="str">
        <x:v>fr</x:v>
      </x:c>
      <x:c r="D109" s="4" t="str">
        <x:v>fr</x:v>
      </x:c>
      <x:c r="E109" s="14" t="str">
        <x:v>standard French</x:v>
      </x:c>
      <x:c r="F109" s="4" t="str">
        <x:v>France and Francophonie</x:v>
      </x:c>
      <x:c r="G109" s="4" t="str">
        <x:v>Latn</x:v>
      </x:c>
      <x:c r="H109" s="4" t="str"/>
      <x:c r="I109" s="4" t="str"/>
      <x:c r="J109" s="4" t="str"/>
      <x:c r="K109" s="17" t="str"/>
      <x:c r="L109" s="4" t="str">
        <x:v>mathematics_mixed</x:v>
      </x:c>
      <x:c r="M109" s="4" t="str">
        <x:v>mathematics_mixed</x:v>
      </x:c>
      <x:c r="N109" s="14" t="str">
        <x:v>unreviewed_partial_api_title_inference</x:v>
      </x:c>
      <x:c r="O109" s="4" t="str">
        <x:v>unresolved_register</x:v>
      </x:c>
      <x:c r="P109" s="14" t="str">
        <x:v>Alicia Dickenstein</x:v>
      </x:c>
      <x:c r="Q109" s="4" t="str">
        <x:v>wikitext</x:v>
      </x:c>
      <x:c r="R109" s="25" t="str">
        <x:v>9910</x:v>
      </x:c>
      <x:c r="S109" s="4" t="str">
        <x:v>43FCABA533B5BB942126A23A008C8FA70F6EBA38CEED2AA3AAB3B5FD9D964998</x:v>
      </x:c>
      <x:c r="T109" s="4" t="str">
        <x:v>43FCABA533B5BB942126A23A008C8FA70F6EBA38CEED2AA3AAB3B5FD9D964998</x:v>
      </x:c>
      <x:c r="U109" s="4" t="str">
        <x:v>source_file_is_canonical_search_text</x:v>
      </x:c>
      <x:c r="V109" s="14" t="str">
        <x:v>https://fr.wikipedia.org/w/index.php?curid=12834577&amp;oldid=215067317</x:v>
      </x:c>
      <x:c r="W109" s="14" t="str">
        <x:v>public_http_locator_preserved</x:v>
      </x:c>
      <x:c r="X109" s="4" t="str">
        <x:v>215067317</x:v>
      </x:c>
      <x:c r="Y109" s="14" t="str">
        <x:v>partial_api_acquisition_preserved</x:v>
      </x:c>
      <x:c r="Z109" s="14" t="str">
        <x:v>Wikimedia project text; verify page footer/rightsinfo</x:v>
      </x:c>
      <x:c r="AA109" s="14" t="str">
        <x:v>declared_cc_by_sa_4_0_project_terms_pending_page_match</x:v>
      </x:c>
      <x:c r="AB109" s="4" t="str">
        <x:v>local_computed</x:v>
      </x:c>
      <x:c r="AC109" s="14" t="str">
        <x:v>automatic_search_result_requires_manual_review</x:v>
      </x:c>
      <x:c r="AD109" s="4" t="str">
        <x:v>false</x:v>
      </x:c>
      <x:c r="AE109" s="4" t="str">
        <x:v>true</x:v>
      </x:c>
      <x:c r="AF109" s="4" t="str">
        <x:v>false</x:v>
      </x:c>
      <x:c r="AG109" s="14" t="str">
        <x:v>primary_unique</x:v>
      </x:c>
      <x:c r="AH109" s="25" t="str">
        <x:v>false</x:v>
      </x:c>
      <x:c r="AI109" s="4" t="str">
        <x:v>false</x:v>
      </x:c>
      <x:c r="AJ109" s="4" t="str">
        <x:v>preserved_noncounting_source_or_alias</x:v>
      </x:c>
      <x:c r="AK109" s="4" t="str">
        <x:v>false</x:v>
      </x:c>
      <x:c r="AL109" s="4" t="str">
        <x:v>false</x:v>
      </x:c>
      <x:c r="AM109" s="14" t="str"/>
      <x:c r="AN109" s="14" t="str">
        <x:v>not_declared</x:v>
      </x:c>
      <x:c r="AO109" s="4" t="str">
        <x:v>false</x:v>
      </x:c>
      <x:c r="AP109" s="14" t="str"/>
      <x:c r="AQ109" s="4" t="str"/>
    </x:row>
    <x:row r="110" ht="44" customHeight="1">
      <x:c r="A110" s="14" t="str">
        <x:v>WIKITEXT-FR-14823923-229967376</x:v>
      </x:c>
      <x:c r="B110" s="14" t="str">
        <x:v>WIKI-fr-14823923-229967376</x:v>
      </x:c>
      <x:c r="C110" s="4" t="str">
        <x:v>fr</x:v>
      </x:c>
      <x:c r="D110" s="4" t="str">
        <x:v>fr</x:v>
      </x:c>
      <x:c r="E110" s="14" t="str">
        <x:v>standard French</x:v>
      </x:c>
      <x:c r="F110" s="4" t="str">
        <x:v>France and Francophonie</x:v>
      </x:c>
      <x:c r="G110" s="4" t="str">
        <x:v>Latn</x:v>
      </x:c>
      <x:c r="H110" s="4" t="str"/>
      <x:c r="I110" s="4" t="str"/>
      <x:c r="J110" s="4" t="str"/>
      <x:c r="K110" s="17" t="str"/>
      <x:c r="L110" s="4" t="str">
        <x:v>ring_theory</x:v>
      </x:c>
      <x:c r="M110" s="4" t="str">
        <x:v>ring_theory</x:v>
      </x:c>
      <x:c r="N110" s="14" t="str">
        <x:v>unreviewed_partial_api_title_inference</x:v>
      </x:c>
      <x:c r="O110" s="4" t="str">
        <x:v>unresolved_register</x:v>
      </x:c>
      <x:c r="P110" s="14" t="str">
        <x:v>Anneau de Schreier</x:v>
      </x:c>
      <x:c r="Q110" s="4" t="str">
        <x:v>wikitext</x:v>
      </x:c>
      <x:c r="R110" s="25" t="str">
        <x:v>5836</x:v>
      </x:c>
      <x:c r="S110" s="4" t="str">
        <x:v>FF79DB916DECB7033DF8F7941B0AA1E1207E1C07AC95B3CBC306EC30253F8923</x:v>
      </x:c>
      <x:c r="T110" s="4" t="str">
        <x:v>FF79DB916DECB7033DF8F7941B0AA1E1207E1C07AC95B3CBC306EC30253F8923</x:v>
      </x:c>
      <x:c r="U110" s="4" t="str">
        <x:v>source_file_is_canonical_search_text</x:v>
      </x:c>
      <x:c r="V110" s="14" t="str">
        <x:v>https://fr.wikipedia.org/w/index.php?curid=14823923&amp;oldid=229967376</x:v>
      </x:c>
      <x:c r="W110" s="14" t="str">
        <x:v>public_http_locator_preserved</x:v>
      </x:c>
      <x:c r="X110" s="4" t="str">
        <x:v>229967376</x:v>
      </x:c>
      <x:c r="Y110" s="14" t="str">
        <x:v>partial_api_acquisition_preserved</x:v>
      </x:c>
      <x:c r="Z110" s="14" t="str">
        <x:v>Wikimedia project text; verify page footer/rightsinfo</x:v>
      </x:c>
      <x:c r="AA110" s="14" t="str">
        <x:v>declared_cc_by_sa_4_0_project_terms_pending_page_match</x:v>
      </x:c>
      <x:c r="AB110" s="4" t="str">
        <x:v>local_computed</x:v>
      </x:c>
      <x:c r="AC110" s="14" t="str">
        <x:v>automatic_search_result_requires_manual_review</x:v>
      </x:c>
      <x:c r="AD110" s="4" t="str">
        <x:v>false</x:v>
      </x:c>
      <x:c r="AE110" s="4" t="str">
        <x:v>true</x:v>
      </x:c>
      <x:c r="AF110" s="4" t="str">
        <x:v>false</x:v>
      </x:c>
      <x:c r="AG110" s="14" t="str">
        <x:v>primary_unique</x:v>
      </x:c>
      <x:c r="AH110" s="25" t="str">
        <x:v>false</x:v>
      </x:c>
      <x:c r="AI110" s="4" t="str">
        <x:v>false</x:v>
      </x:c>
      <x:c r="AJ110" s="4" t="str">
        <x:v>preserved_noncounting_source_or_alias</x:v>
      </x:c>
      <x:c r="AK110" s="4" t="str">
        <x:v>false</x:v>
      </x:c>
      <x:c r="AL110" s="4" t="str">
        <x:v>false</x:v>
      </x:c>
      <x:c r="AM110" s="14" t="str"/>
      <x:c r="AN110" s="14" t="str">
        <x:v>not_declared</x:v>
      </x:c>
      <x:c r="AO110" s="4" t="str">
        <x:v>false</x:v>
      </x:c>
      <x:c r="AP110" s="14" t="str"/>
      <x:c r="AQ110" s="4" t="str"/>
    </x:row>
    <x:row r="111" ht="44" customHeight="1">
      <x:c r="A111" s="14" t="str">
        <x:v>WIKITEXT-FR-14877-235995378</x:v>
      </x:c>
      <x:c r="B111" s="14" t="str">
        <x:v>WIKI-fr-14877-235995378</x:v>
      </x:c>
      <x:c r="C111" s="4" t="str">
        <x:v>fr</x:v>
      </x:c>
      <x:c r="D111" s="4" t="str">
        <x:v>fr</x:v>
      </x:c>
      <x:c r="E111" s="14" t="str">
        <x:v>standard French</x:v>
      </x:c>
      <x:c r="F111" s="4" t="str">
        <x:v>France and Francophonie</x:v>
      </x:c>
      <x:c r="G111" s="4" t="str">
        <x:v>Latn</x:v>
      </x:c>
      <x:c r="H111" s="4" t="str"/>
      <x:c r="I111" s="4" t="str"/>
      <x:c r="J111" s="4" t="str"/>
      <x:c r="K111" s="17" t="str"/>
      <x:c r="L111" s="4" t="str">
        <x:v>mathematics_mixed</x:v>
      </x:c>
      <x:c r="M111" s="4" t="str">
        <x:v>mathematics_mixed</x:v>
      </x:c>
      <x:c r="N111" s="14" t="str">
        <x:v>unreviewed_partial_api_title_inference</x:v>
      </x:c>
      <x:c r="O111" s="4" t="str">
        <x:v>unresolved_register</x:v>
      </x:c>
      <x:c r="P111" s="14" t="str">
        <x:v>Évariste Galois</x:v>
      </x:c>
      <x:c r="Q111" s="4" t="str">
        <x:v>wikitext</x:v>
      </x:c>
      <x:c r="R111" s="25" t="str">
        <x:v>139288</x:v>
      </x:c>
      <x:c r="S111" s="4" t="str">
        <x:v>A0D63FBB143E50A7605D036740D165CFC8D90791256CE5ABF4F2F437C9FC4472</x:v>
      </x:c>
      <x:c r="T111" s="4" t="str">
        <x:v>A0D63FBB143E50A7605D036740D165CFC8D90791256CE5ABF4F2F437C9FC4472</x:v>
      </x:c>
      <x:c r="U111" s="4" t="str">
        <x:v>source_file_is_canonical_search_text</x:v>
      </x:c>
      <x:c r="V111" s="14" t="str">
        <x:v>https://fr.wikipedia.org/w/index.php?curid=14877&amp;oldid=235995378</x:v>
      </x:c>
      <x:c r="W111" s="14" t="str">
        <x:v>public_http_locator_preserved</x:v>
      </x:c>
      <x:c r="X111" s="4" t="str">
        <x:v>235995378</x:v>
      </x:c>
      <x:c r="Y111" s="14" t="str">
        <x:v>partial_api_acquisition_preserved</x:v>
      </x:c>
      <x:c r="Z111" s="14" t="str">
        <x:v>Wikimedia project text; verify page footer/rightsinfo</x:v>
      </x:c>
      <x:c r="AA111" s="14" t="str">
        <x:v>declared_cc_by_sa_4_0_project_terms_pending_page_match</x:v>
      </x:c>
      <x:c r="AB111" s="4" t="str">
        <x:v>local_computed</x:v>
      </x:c>
      <x:c r="AC111" s="14" t="str">
        <x:v>automatic_search_result_requires_manual_review</x:v>
      </x:c>
      <x:c r="AD111" s="4" t="str">
        <x:v>false</x:v>
      </x:c>
      <x:c r="AE111" s="4" t="str">
        <x:v>true</x:v>
      </x:c>
      <x:c r="AF111" s="4" t="str">
        <x:v>false</x:v>
      </x:c>
      <x:c r="AG111" s="14" t="str">
        <x:v>primary_unique</x:v>
      </x:c>
      <x:c r="AH111" s="25" t="str">
        <x:v>false</x:v>
      </x:c>
      <x:c r="AI111" s="4" t="str">
        <x:v>false</x:v>
      </x:c>
      <x:c r="AJ111" s="4" t="str">
        <x:v>preserved_noncounting_source_or_alias</x:v>
      </x:c>
      <x:c r="AK111" s="4" t="str">
        <x:v>false</x:v>
      </x:c>
      <x:c r="AL111" s="4" t="str">
        <x:v>false</x:v>
      </x:c>
      <x:c r="AM111" s="14" t="str"/>
      <x:c r="AN111" s="14" t="str">
        <x:v>not_declared</x:v>
      </x:c>
      <x:c r="AO111" s="4" t="str">
        <x:v>false</x:v>
      </x:c>
      <x:c r="AP111" s="14" t="str"/>
      <x:c r="AQ111" s="4" t="str"/>
    </x:row>
    <x:row r="112" ht="44" customHeight="1">
      <x:c r="A112" s="14" t="str">
        <x:v>WIKIHTML-FR-17703-228274599</x:v>
      </x:c>
      <x:c r="B112" s="14" t="str">
        <x:v>WIKI-fr-17703-228274599</x:v>
      </x:c>
      <x:c r="C112" s="4" t="str">
        <x:v>fr</x:v>
      </x:c>
      <x:c r="D112" s="4" t="str">
        <x:v>fr</x:v>
      </x:c>
      <x:c r="E112" s="14" t="str">
        <x:v>standard French</x:v>
      </x:c>
      <x:c r="F112" s="4" t="str">
        <x:v>France and Francophonie</x:v>
      </x:c>
      <x:c r="G112" s="4" t="str">
        <x:v>Latn</x:v>
      </x:c>
      <x:c r="H112" s="4" t="str"/>
      <x:c r="I112" s="4" t="str"/>
      <x:c r="J112" s="4" t="str"/>
      <x:c r="K112" s="17" t="str"/>
      <x:c r="L112" s="4" t="str">
        <x:v>group_theory</x:v>
      </x:c>
      <x:c r="M112" s="4" t="str">
        <x:v>group_theory;abstract_algebra</x:v>
      </x:c>
      <x:c r="N112" s="14" t="str">
        <x:v>manual_topic_review_20260717</x:v>
      </x:c>
      <x:c r="O112" s="4" t="str">
        <x:v>unresolved_register</x:v>
      </x:c>
      <x:c r="P112" s="14" t="str">
        <x:v>Théorie des groupes</x:v>
      </x:c>
      <x:c r="Q112" s="4" t="str">
        <x:v>html</x:v>
      </x:c>
      <x:c r="R112" s="25" t="str">
        <x:v>159339</x:v>
      </x:c>
      <x:c r="S112" s="4" t="str">
        <x:v>E96A6E97E1C99CAD1ED4F620858084CF65E97E081F2F6D7B3EA2FB928CB8DAAE</x:v>
      </x:c>
      <x:c r="T112" s="4" t="str">
        <x:v>35CE2A3270589CE6F8B4ECC3DB0E2B423CB789743AB73C8A21917B8347B4B31B</x:v>
      </x:c>
      <x:c r="U112" s="4" t="str">
        <x:v>derived_visible_text</x:v>
      </x:c>
      <x:c r="V112" s="14" t="str">
        <x:v>https://fr.wikipedia.org/w/index.php?curid=17703&amp;oldid=228274599</x:v>
      </x:c>
      <x:c r="W112" s="14" t="str">
        <x:v>public_http_locator_preserved</x:v>
      </x:c>
      <x:c r="X112" s="4" t="str">
        <x:v>228274599</x:v>
      </x:c>
      <x:c r="Y112" s="14" t="str">
        <x:v>native_revision_pinned_context_shelf</x:v>
      </x:c>
      <x:c r="Z112" s="14" t="str">
        <x:v>https://creativecommons.org/licenses/by-sa/4.0/deed.fr</x:v>
      </x:c>
      <x:c r="AA112" s="14" t="str">
        <x:v>declared_cc_by_sa_4_0</x:v>
      </x:c>
      <x:c r="AB112" s="4" t="str">
        <x:v>local_computed</x:v>
      </x:c>
      <x:c r="AC112" s="14" t="str">
        <x:v>page_topic_reviewed_term_occurrences_require_context_review</x:v>
      </x:c>
      <x:c r="AD112" s="4" t="str">
        <x:v>true</x:v>
      </x:c>
      <x:c r="AE112" s="4" t="str">
        <x:v>true</x:v>
      </x:c>
      <x:c r="AF112" s="4" t="str">
        <x:v>false</x:v>
      </x:c>
      <x:c r="AG112" s="14" t="str">
        <x:v>primary_unique</x:v>
      </x:c>
      <x:c r="AH112" s="25" t="str">
        <x:v>true</x:v>
      </x:c>
      <x:c r="AI112" s="4" t="str">
        <x:v>false</x:v>
      </x:c>
      <x:c r="AJ112" s="4" t="str">
        <x:v>active_source_body</x:v>
      </x:c>
      <x:c r="AK112" s="4" t="str">
        <x:v>true</x:v>
      </x:c>
      <x:c r="AL112" s="4" t="str">
        <x:v>false</x:v>
      </x:c>
      <x:c r="AM112" s="14" t="str"/>
      <x:c r="AN112" s="14" t="str">
        <x:v>not_declared</x:v>
      </x:c>
      <x:c r="AO112" s="4" t="str">
        <x:v>true</x:v>
      </x:c>
      <x:c r="AP112" s="14" t="str"/>
      <x:c r="AQ112" s="4" t="str"/>
    </x:row>
    <x:row r="113" ht="44" customHeight="1">
      <x:c r="A113" s="14" t="str">
        <x:v>WIKITEXT-FR-1876788-229944702</x:v>
      </x:c>
      <x:c r="B113" s="14" t="str">
        <x:v>WIKI-fr-1876788-229944702</x:v>
      </x:c>
      <x:c r="C113" s="4" t="str">
        <x:v>fr</x:v>
      </x:c>
      <x:c r="D113" s="4" t="str">
        <x:v>fr</x:v>
      </x:c>
      <x:c r="E113" s="14" t="str">
        <x:v>standard French</x:v>
      </x:c>
      <x:c r="F113" s="4" t="str">
        <x:v>France and Francophonie</x:v>
      </x:c>
      <x:c r="G113" s="4" t="str">
        <x:v>Latn</x:v>
      </x:c>
      <x:c r="H113" s="4" t="str"/>
      <x:c r="I113" s="4" t="str"/>
      <x:c r="J113" s="4" t="str"/>
      <x:c r="K113" s="17" t="str"/>
      <x:c r="L113" s="4" t="str">
        <x:v>mathematics_mixed</x:v>
      </x:c>
      <x:c r="M113" s="4" t="str">
        <x:v>mathematics_mixed</x:v>
      </x:c>
      <x:c r="N113" s="14" t="str">
        <x:v>unreviewed_partial_api_title_inference</x:v>
      </x:c>
      <x:c r="O113" s="4" t="str">
        <x:v>unresolved_register</x:v>
      </x:c>
      <x:c r="P113" s="14" t="str">
        <x:v>Théorème de Frobenius généralisé</x:v>
      </x:c>
      <x:c r="Q113" s="4" t="str">
        <x:v>wikitext</x:v>
      </x:c>
      <x:c r="R113" s="25" t="str">
        <x:v>11271</x:v>
      </x:c>
      <x:c r="S113" s="4" t="str">
        <x:v>8DE460A4CC6953D5752555D2F03C8463A96C04D1D69E93E50B2CB62CEB22AAC9</x:v>
      </x:c>
      <x:c r="T113" s="4" t="str">
        <x:v>8DE460A4CC6953D5752555D2F03C8463A96C04D1D69E93E50B2CB62CEB22AAC9</x:v>
      </x:c>
      <x:c r="U113" s="4" t="str">
        <x:v>source_file_is_canonical_search_text</x:v>
      </x:c>
      <x:c r="V113" s="14" t="str">
        <x:v>https://fr.wikipedia.org/w/index.php?curid=1876788&amp;oldid=229944702</x:v>
      </x:c>
      <x:c r="W113" s="14" t="str">
        <x:v>public_http_locator_preserved</x:v>
      </x:c>
      <x:c r="X113" s="4" t="str">
        <x:v>229944702</x:v>
      </x:c>
      <x:c r="Y113" s="14" t="str">
        <x:v>partial_api_acquisition_preserved</x:v>
      </x:c>
      <x:c r="Z113" s="14" t="str">
        <x:v>Wikimedia project text; verify page footer/rightsinfo</x:v>
      </x:c>
      <x:c r="AA113" s="14" t="str">
        <x:v>declared_cc_by_sa_4_0_project_terms_pending_page_match</x:v>
      </x:c>
      <x:c r="AB113" s="4" t="str">
        <x:v>local_computed</x:v>
      </x:c>
      <x:c r="AC113" s="14" t="str">
        <x:v>automatic_search_result_requires_manual_review</x:v>
      </x:c>
      <x:c r="AD113" s="4" t="str">
        <x:v>false</x:v>
      </x:c>
      <x:c r="AE113" s="4" t="str">
        <x:v>true</x:v>
      </x:c>
      <x:c r="AF113" s="4" t="str">
        <x:v>false</x:v>
      </x:c>
      <x:c r="AG113" s="14" t="str">
        <x:v>primary_unique</x:v>
      </x:c>
      <x:c r="AH113" s="25" t="str">
        <x:v>false</x:v>
      </x:c>
      <x:c r="AI113" s="4" t="str">
        <x:v>false</x:v>
      </x:c>
      <x:c r="AJ113" s="4" t="str">
        <x:v>preserved_noncounting_source_or_alias</x:v>
      </x:c>
      <x:c r="AK113" s="4" t="str">
        <x:v>false</x:v>
      </x:c>
      <x:c r="AL113" s="4" t="str">
        <x:v>false</x:v>
      </x:c>
      <x:c r="AM113" s="14" t="str"/>
      <x:c r="AN113" s="14" t="str">
        <x:v>not_declared</x:v>
      </x:c>
      <x:c r="AO113" s="4" t="str">
        <x:v>false</x:v>
      </x:c>
      <x:c r="AP113" s="14" t="str"/>
      <x:c r="AQ113" s="4" t="str"/>
    </x:row>
    <x:row r="114" ht="44" customHeight="1">
      <x:c r="A114" s="14" t="str">
        <x:v>WIKIHTML-FR-20686-228450069</x:v>
      </x:c>
      <x:c r="B114" s="14" t="str">
        <x:v>WIKI-fr-20686-228450069</x:v>
      </x:c>
      <x:c r="C114" s="4" t="str">
        <x:v>fr</x:v>
      </x:c>
      <x:c r="D114" s="4" t="str">
        <x:v>fr</x:v>
      </x:c>
      <x:c r="E114" s="14" t="str">
        <x:v>standard French</x:v>
      </x:c>
      <x:c r="F114" s="4" t="str">
        <x:v>France and Francophonie</x:v>
      </x:c>
      <x:c r="G114" s="4" t="str">
        <x:v>Latn</x:v>
      </x:c>
      <x:c r="H114" s="4" t="str"/>
      <x:c r="I114" s="4" t="str"/>
      <x:c r="J114" s="4" t="str"/>
      <x:c r="K114" s="17" t="str"/>
      <x:c r="L114" s="4" t="str">
        <x:v>proof_register</x:v>
      </x:c>
      <x:c r="M114" s="4" t="str">
        <x:v>proof_register;mathematics_general</x:v>
      </x:c>
      <x:c r="N114" s="14" t="str">
        <x:v>manual_topic_review_20260717</x:v>
      </x:c>
      <x:c r="O114" s="4" t="str">
        <x:v>unresolved_register</x:v>
      </x:c>
      <x:c r="P114" s="14" t="str">
        <x:v>Démonstration (logique et mathématiques)</x:v>
      </x:c>
      <x:c r="Q114" s="4" t="str">
        <x:v>html</x:v>
      </x:c>
      <x:c r="R114" s="25" t="str">
        <x:v>205512</x:v>
      </x:c>
      <x:c r="S114" s="4" t="str">
        <x:v>30423328A7896BF72D9A0E46FF88E31EEFA3EE655EF6730EE0B1D66D28CCE77A</x:v>
      </x:c>
      <x:c r="T114" s="4" t="str">
        <x:v>B6A4EEBA5FC1911F42A4A0B5E4CDBA3C3563274D8361BD7BA73CC29F3C17F472</x:v>
      </x:c>
      <x:c r="U114" s="4" t="str">
        <x:v>derived_visible_text</x:v>
      </x:c>
      <x:c r="V114" s="14" t="str">
        <x:v>https://fr.wikipedia.org/w/index.php?curid=20686&amp;oldid=228450069</x:v>
      </x:c>
      <x:c r="W114" s="14" t="str">
        <x:v>public_http_locator_preserved</x:v>
      </x:c>
      <x:c r="X114" s="4" t="str">
        <x:v>228450069</x:v>
      </x:c>
      <x:c r="Y114" s="14" t="str">
        <x:v>native_revision_pinned_context_shelf</x:v>
      </x:c>
      <x:c r="Z114" s="14" t="str">
        <x:v>https://creativecommons.org/licenses/by-sa/4.0/deed.fr</x:v>
      </x:c>
      <x:c r="AA114" s="14" t="str">
        <x:v>declared_cc_by_sa_4_0</x:v>
      </x:c>
      <x:c r="AB114" s="4" t="str">
        <x:v>local_computed</x:v>
      </x:c>
      <x:c r="AC114" s="14" t="str">
        <x:v>page_topic_reviewed_term_occurrences_require_context_review</x:v>
      </x:c>
      <x:c r="AD114" s="4" t="str">
        <x:v>true</x:v>
      </x:c>
      <x:c r="AE114" s="4" t="str">
        <x:v>true</x:v>
      </x:c>
      <x:c r="AF114" s="4" t="str">
        <x:v>false</x:v>
      </x:c>
      <x:c r="AG114" s="14" t="str">
        <x:v>primary_unique</x:v>
      </x:c>
      <x:c r="AH114" s="25" t="str">
        <x:v>true</x:v>
      </x:c>
      <x:c r="AI114" s="4" t="str">
        <x:v>false</x:v>
      </x:c>
      <x:c r="AJ114" s="4" t="str">
        <x:v>active_source_body</x:v>
      </x:c>
      <x:c r="AK114" s="4" t="str">
        <x:v>true</x:v>
      </x:c>
      <x:c r="AL114" s="4" t="str">
        <x:v>false</x:v>
      </x:c>
      <x:c r="AM114" s="14" t="str"/>
      <x:c r="AN114" s="14" t="str">
        <x:v>not_declared</x:v>
      </x:c>
      <x:c r="AO114" s="4" t="str">
        <x:v>false</x:v>
      </x:c>
      <x:c r="AP114" s="14" t="str"/>
      <x:c r="AQ114" s="4" t="str"/>
    </x:row>
    <x:row r="115" ht="44" customHeight="1">
      <x:c r="A115" s="14" t="str">
        <x:v>WIKIHTML-FR-247990-234911105</x:v>
      </x:c>
      <x:c r="B115" s="14" t="str">
        <x:v>WIKI-fr-247990-234911105</x:v>
      </x:c>
      <x:c r="C115" s="4" t="str">
        <x:v>fr</x:v>
      </x:c>
      <x:c r="D115" s="4" t="str">
        <x:v>fr</x:v>
      </x:c>
      <x:c r="E115" s="14" t="str">
        <x:v>standard French</x:v>
      </x:c>
      <x:c r="F115" s="4" t="str">
        <x:v>France and Francophonie</x:v>
      </x:c>
      <x:c r="G115" s="4" t="str">
        <x:v>Latn</x:v>
      </x:c>
      <x:c r="H115" s="4" t="str"/>
      <x:c r="I115" s="4" t="str"/>
      <x:c r="J115" s="4" t="str"/>
      <x:c r="K115" s="17" t="str"/>
      <x:c r="L115" s="4" t="str">
        <x:v>module_theory</x:v>
      </x:c>
      <x:c r="M115" s="4" t="str">
        <x:v>module_theory;ring_theory</x:v>
      </x:c>
      <x:c r="N115" s="14" t="str">
        <x:v>manual_topic_review_20260717</x:v>
      </x:c>
      <x:c r="O115" s="4" t="str">
        <x:v>unresolved_register</x:v>
      </x:c>
      <x:c r="P115" s="14" t="str">
        <x:v>Module sur un anneau</x:v>
      </x:c>
      <x:c r="Q115" s="4" t="str">
        <x:v>html</x:v>
      </x:c>
      <x:c r="R115" s="25" t="str">
        <x:v>237053</x:v>
      </x:c>
      <x:c r="S115" s="4" t="str">
        <x:v>BAE6A0F2039BD919978824F44415CFD8F76295FD3567C1052567F43CB2D84362</x:v>
      </x:c>
      <x:c r="T115" s="4" t="str">
        <x:v>E75078ABEE8C58F7CADE00B1D9DD1A74F079836E0B7AEB1EB8019D25EFD63044</x:v>
      </x:c>
      <x:c r="U115" s="4" t="str">
        <x:v>derived_visible_text</x:v>
      </x:c>
      <x:c r="V115" s="14" t="str">
        <x:v>https://fr.wikipedia.org/w/index.php?curid=247990&amp;oldid=234911105</x:v>
      </x:c>
      <x:c r="W115" s="14" t="str">
        <x:v>public_http_locator_preserved</x:v>
      </x:c>
      <x:c r="X115" s="4" t="str">
        <x:v>234911105</x:v>
      </x:c>
      <x:c r="Y115" s="14" t="str">
        <x:v>native_revision_pinned_context_shelf</x:v>
      </x:c>
      <x:c r="Z115" s="14" t="str">
        <x:v>https://creativecommons.org/licenses/by-sa/4.0/deed.fr</x:v>
      </x:c>
      <x:c r="AA115" s="14" t="str">
        <x:v>declared_cc_by_sa_4_0</x:v>
      </x:c>
      <x:c r="AB115" s="4" t="str">
        <x:v>local_computed</x:v>
      </x:c>
      <x:c r="AC115" s="14" t="str">
        <x:v>page_topic_reviewed_term_occurrences_require_context_review</x:v>
      </x:c>
      <x:c r="AD115" s="4" t="str">
        <x:v>true</x:v>
      </x:c>
      <x:c r="AE115" s="4" t="str">
        <x:v>true</x:v>
      </x:c>
      <x:c r="AF115" s="4" t="str">
        <x:v>false</x:v>
      </x:c>
      <x:c r="AG115" s="14" t="str">
        <x:v>primary_unique</x:v>
      </x:c>
      <x:c r="AH115" s="25" t="str">
        <x:v>true</x:v>
      </x:c>
      <x:c r="AI115" s="4" t="str">
        <x:v>false</x:v>
      </x:c>
      <x:c r="AJ115" s="4" t="str">
        <x:v>active_source_body</x:v>
      </x:c>
      <x:c r="AK115" s="4" t="str">
        <x:v>true</x:v>
      </x:c>
      <x:c r="AL115" s="4" t="str">
        <x:v>false</x:v>
      </x:c>
      <x:c r="AM115" s="14" t="str"/>
      <x:c r="AN115" s="14" t="str">
        <x:v>not_declared</x:v>
      </x:c>
      <x:c r="AO115" s="4" t="str">
        <x:v>true</x:v>
      </x:c>
      <x:c r="AP115" s="14" t="str"/>
      <x:c r="AQ115" s="4" t="str"/>
    </x:row>
    <x:row r="116" ht="44" customHeight="1">
      <x:c r="A116" s="14" t="str">
        <x:v>WIKITEXT-FR-3470691-237021048</x:v>
      </x:c>
      <x:c r="B116" s="14" t="str">
        <x:v>WIKI-fr-3470691-237021048</x:v>
      </x:c>
      <x:c r="C116" s="4" t="str">
        <x:v>fr</x:v>
      </x:c>
      <x:c r="D116" s="4" t="str">
        <x:v>fr</x:v>
      </x:c>
      <x:c r="E116" s="14" t="str">
        <x:v>standard French</x:v>
      </x:c>
      <x:c r="F116" s="4" t="str">
        <x:v>France and Francophonie</x:v>
      </x:c>
      <x:c r="G116" s="4" t="str">
        <x:v>Latn</x:v>
      </x:c>
      <x:c r="H116" s="4" t="str"/>
      <x:c r="I116" s="4" t="str"/>
      <x:c r="J116" s="4" t="str"/>
      <x:c r="K116" s="17" t="str"/>
      <x:c r="L116" s="4" t="str">
        <x:v>abstract_algebra</x:v>
      </x:c>
      <x:c r="M116" s="4" t="str">
        <x:v>abstract_algebra</x:v>
      </x:c>
      <x:c r="N116" s="14" t="str">
        <x:v>unreviewed_partial_api_title_inference</x:v>
      </x:c>
      <x:c r="O116" s="4" t="str">
        <x:v>unresolved_register</x:v>
      </x:c>
      <x:c r="P116" s="14" t="str">
        <x:v>Algèbre géométrique</x:v>
      </x:c>
      <x:c r="Q116" s="4" t="str">
        <x:v>wikitext</x:v>
      </x:c>
      <x:c r="R116" s="25" t="str">
        <x:v>81858</x:v>
      </x:c>
      <x:c r="S116" s="4" t="str">
        <x:v>7D68E01620C5F58E2C23B5679871474979BF29FA1736E47A28E401DD2E716504</x:v>
      </x:c>
      <x:c r="T116" s="4" t="str">
        <x:v>7D68E01620C5F58E2C23B5679871474979BF29FA1736E47A28E401DD2E716504</x:v>
      </x:c>
      <x:c r="U116" s="4" t="str">
        <x:v>source_file_is_canonical_search_text</x:v>
      </x:c>
      <x:c r="V116" s="14" t="str">
        <x:v>https://fr.wikipedia.org/w/index.php?curid=3470691&amp;oldid=237021048</x:v>
      </x:c>
      <x:c r="W116" s="14" t="str">
        <x:v>public_http_locator_preserved</x:v>
      </x:c>
      <x:c r="X116" s="4" t="str">
        <x:v>237021048</x:v>
      </x:c>
      <x:c r="Y116" s="14" t="str">
        <x:v>partial_api_acquisition_preserved</x:v>
      </x:c>
      <x:c r="Z116" s="14" t="str">
        <x:v>Wikimedia project text; verify page footer/rightsinfo</x:v>
      </x:c>
      <x:c r="AA116" s="14" t="str">
        <x:v>declared_cc_by_sa_4_0_project_terms_pending_page_match</x:v>
      </x:c>
      <x:c r="AB116" s="4" t="str">
        <x:v>local_computed</x:v>
      </x:c>
      <x:c r="AC116" s="14" t="str">
        <x:v>automatic_search_result_requires_manual_review</x:v>
      </x:c>
      <x:c r="AD116" s="4" t="str">
        <x:v>false</x:v>
      </x:c>
      <x:c r="AE116" s="4" t="str">
        <x:v>true</x:v>
      </x:c>
      <x:c r="AF116" s="4" t="str">
        <x:v>false</x:v>
      </x:c>
      <x:c r="AG116" s="14" t="str">
        <x:v>primary_unique</x:v>
      </x:c>
      <x:c r="AH116" s="25" t="str">
        <x:v>false</x:v>
      </x:c>
      <x:c r="AI116" s="4" t="str">
        <x:v>false</x:v>
      </x:c>
      <x:c r="AJ116" s="4" t="str">
        <x:v>preserved_noncounting_source_or_alias</x:v>
      </x:c>
      <x:c r="AK116" s="4" t="str">
        <x:v>false</x:v>
      </x:c>
      <x:c r="AL116" s="4" t="str">
        <x:v>false</x:v>
      </x:c>
      <x:c r="AM116" s="14" t="str"/>
      <x:c r="AN116" s="14" t="str">
        <x:v>not_declared</x:v>
      </x:c>
      <x:c r="AO116" s="4" t="str">
        <x:v>false</x:v>
      </x:c>
      <x:c r="AP116" s="14" t="str"/>
      <x:c r="AQ116" s="4" t="str"/>
    </x:row>
    <x:row r="117" ht="44" customHeight="1">
      <x:c r="A117" s="14" t="str">
        <x:v>WIKITEXT-FR-4278549-192069700</x:v>
      </x:c>
      <x:c r="B117" s="14" t="str">
        <x:v>WIKI-fr-4278549-192069700</x:v>
      </x:c>
      <x:c r="C117" s="4" t="str">
        <x:v>fr</x:v>
      </x:c>
      <x:c r="D117" s="4" t="str">
        <x:v>fr</x:v>
      </x:c>
      <x:c r="E117" s="14" t="str">
        <x:v>standard French</x:v>
      </x:c>
      <x:c r="F117" s="4" t="str">
        <x:v>France and Francophonie</x:v>
      </x:c>
      <x:c r="G117" s="4" t="str">
        <x:v>Latn</x:v>
      </x:c>
      <x:c r="H117" s="4" t="str"/>
      <x:c r="I117" s="4" t="str"/>
      <x:c r="J117" s="4" t="str"/>
      <x:c r="K117" s="17" t="str"/>
      <x:c r="L117" s="4" t="str">
        <x:v>mathematics_mixed</x:v>
      </x:c>
      <x:c r="M117" s="4" t="str">
        <x:v>mathematics_mixed</x:v>
      </x:c>
      <x:c r="N117" s="14" t="str">
        <x:v>unreviewed_partial_api_title_inference</x:v>
      </x:c>
      <x:c r="O117" s="4" t="str">
        <x:v>unresolved_register</x:v>
      </x:c>
      <x:c r="P117" s="14" t="str">
        <x:v>Matrices anticirculantes</x:v>
      </x:c>
      <x:c r="Q117" s="4" t="str">
        <x:v>wikitext</x:v>
      </x:c>
      <x:c r="R117" s="25" t="str">
        <x:v>4436</x:v>
      </x:c>
      <x:c r="S117" s="4" t="str">
        <x:v>B11FAE0CB6ADA8274C524A4ED775CE124547F2A5C20246C3BAB3AC165B7452BB</x:v>
      </x:c>
      <x:c r="T117" s="4" t="str">
        <x:v>B11FAE0CB6ADA8274C524A4ED775CE124547F2A5C20246C3BAB3AC165B7452BB</x:v>
      </x:c>
      <x:c r="U117" s="4" t="str">
        <x:v>source_file_is_canonical_search_text</x:v>
      </x:c>
      <x:c r="V117" s="14" t="str">
        <x:v>https://fr.wikipedia.org/w/index.php?curid=4278549&amp;oldid=192069700</x:v>
      </x:c>
      <x:c r="W117" s="14" t="str">
        <x:v>public_http_locator_preserved</x:v>
      </x:c>
      <x:c r="X117" s="4" t="str">
        <x:v>192069700</x:v>
      </x:c>
      <x:c r="Y117" s="14" t="str">
        <x:v>partial_api_acquisition_preserved</x:v>
      </x:c>
      <x:c r="Z117" s="14" t="str">
        <x:v>Wikimedia project text; verify page footer/rightsinfo</x:v>
      </x:c>
      <x:c r="AA117" s="14" t="str">
        <x:v>declared_cc_by_sa_4_0_project_terms_pending_page_match</x:v>
      </x:c>
      <x:c r="AB117" s="4" t="str">
        <x:v>local_computed</x:v>
      </x:c>
      <x:c r="AC117" s="14" t="str">
        <x:v>automatic_search_result_requires_manual_review</x:v>
      </x:c>
      <x:c r="AD117" s="4" t="str">
        <x:v>false</x:v>
      </x:c>
      <x:c r="AE117" s="4" t="str">
        <x:v>true</x:v>
      </x:c>
      <x:c r="AF117" s="4" t="str">
        <x:v>false</x:v>
      </x:c>
      <x:c r="AG117" s="14" t="str">
        <x:v>primary_unique</x:v>
      </x:c>
      <x:c r="AH117" s="25" t="str">
        <x:v>false</x:v>
      </x:c>
      <x:c r="AI117" s="4" t="str">
        <x:v>false</x:v>
      </x:c>
      <x:c r="AJ117" s="4" t="str">
        <x:v>preserved_noncounting_source_or_alias</x:v>
      </x:c>
      <x:c r="AK117" s="4" t="str">
        <x:v>false</x:v>
      </x:c>
      <x:c r="AL117" s="4" t="str">
        <x:v>false</x:v>
      </x:c>
      <x:c r="AM117" s="14" t="str"/>
      <x:c r="AN117" s="14" t="str">
        <x:v>not_declared</x:v>
      </x:c>
      <x:c r="AO117" s="4" t="str">
        <x:v>false</x:v>
      </x:c>
      <x:c r="AP117" s="14" t="str"/>
      <x:c r="AQ117" s="4" t="str"/>
    </x:row>
    <x:row r="118" ht="44" customHeight="1">
      <x:c r="A118" s="14" t="str">
        <x:v>WIKIHTML-FR-5276690-237541745</x:v>
      </x:c>
      <x:c r="B118" s="14" t="str">
        <x:v>WIKI-fr-5276690-237541745</x:v>
      </x:c>
      <x:c r="C118" s="4" t="str">
        <x:v>fr</x:v>
      </x:c>
      <x:c r="D118" s="4" t="str">
        <x:v>fr</x:v>
      </x:c>
      <x:c r="E118" s="14" t="str">
        <x:v>standard French</x:v>
      </x:c>
      <x:c r="F118" s="4" t="str">
        <x:v>France and Francophonie</x:v>
      </x:c>
      <x:c r="G118" s="4" t="str">
        <x:v>Latn</x:v>
      </x:c>
      <x:c r="H118" s="4" t="str"/>
      <x:c r="I118" s="4" t="str"/>
      <x:c r="J118" s="4" t="str"/>
      <x:c r="K118" s="17" t="str"/>
      <x:c r="L118" s="4" t="str">
        <x:v>ring_theory</x:v>
      </x:c>
      <x:c r="M118" s="4" t="str">
        <x:v>ring_theory;abstract_algebra</x:v>
      </x:c>
      <x:c r="N118" s="14" t="str">
        <x:v>manual_topic_review_20260717</x:v>
      </x:c>
      <x:c r="O118" s="4" t="str">
        <x:v>unresolved_register</x:v>
      </x:c>
      <x:c r="P118" s="14" t="str">
        <x:v>Anneau (mathématiques)</x:v>
      </x:c>
      <x:c r="Q118" s="4" t="str">
        <x:v>html</x:v>
      </x:c>
      <x:c r="R118" s="25" t="str">
        <x:v>115589</x:v>
      </x:c>
      <x:c r="S118" s="4" t="str">
        <x:v>EAE4334033143AD57B84FF82AB718A7CEFE9EC1CB1FEDE9CC004C5D0738609E2</x:v>
      </x:c>
      <x:c r="T118" s="4" t="str">
        <x:v>7BE71584B36D03B8930311A294D3F824FEFE284A26393E618235DB75BA4DB753</x:v>
      </x:c>
      <x:c r="U118" s="4" t="str">
        <x:v>derived_visible_text</x:v>
      </x:c>
      <x:c r="V118" s="14" t="str">
        <x:v>https://fr.wikipedia.org/w/index.php?curid=5276690&amp;oldid=237541745</x:v>
      </x:c>
      <x:c r="W118" s="14" t="str">
        <x:v>public_http_locator_preserved</x:v>
      </x:c>
      <x:c r="X118" s="4" t="str">
        <x:v>237541745</x:v>
      </x:c>
      <x:c r="Y118" s="14" t="str">
        <x:v>native_revision_pinned_context_shelf</x:v>
      </x:c>
      <x:c r="Z118" s="14" t="str">
        <x:v>https://creativecommons.org/licenses/by-sa/4.0/deed.fr</x:v>
      </x:c>
      <x:c r="AA118" s="14" t="str">
        <x:v>declared_cc_by_sa_4_0</x:v>
      </x:c>
      <x:c r="AB118" s="4" t="str">
        <x:v>local_computed</x:v>
      </x:c>
      <x:c r="AC118" s="14" t="str">
        <x:v>page_topic_reviewed_term_occurrences_require_context_review</x:v>
      </x:c>
      <x:c r="AD118" s="4" t="str">
        <x:v>true</x:v>
      </x:c>
      <x:c r="AE118" s="4" t="str">
        <x:v>true</x:v>
      </x:c>
      <x:c r="AF118" s="4" t="str">
        <x:v>false</x:v>
      </x:c>
      <x:c r="AG118" s="14" t="str">
        <x:v>primary_unique</x:v>
      </x:c>
      <x:c r="AH118" s="25" t="str">
        <x:v>true</x:v>
      </x:c>
      <x:c r="AI118" s="4" t="str">
        <x:v>false</x:v>
      </x:c>
      <x:c r="AJ118" s="4" t="str">
        <x:v>active_source_body</x:v>
      </x:c>
      <x:c r="AK118" s="4" t="str">
        <x:v>true</x:v>
      </x:c>
      <x:c r="AL118" s="4" t="str">
        <x:v>false</x:v>
      </x:c>
      <x:c r="AM118" s="14" t="str"/>
      <x:c r="AN118" s="14" t="str">
        <x:v>not_declared</x:v>
      </x:c>
      <x:c r="AO118" s="4" t="str">
        <x:v>true</x:v>
      </x:c>
      <x:c r="AP118" s="14" t="str"/>
      <x:c r="AQ118" s="4" t="str"/>
    </x:row>
    <x:row r="119" ht="44" customHeight="1">
      <x:c r="A119" s="14" t="str">
        <x:v>WIKITEXT-FR-723655-237897058</x:v>
      </x:c>
      <x:c r="B119" s="14" t="str">
        <x:v>WIKI-fr-723655-237897058</x:v>
      </x:c>
      <x:c r="C119" s="4" t="str">
        <x:v>fr</x:v>
      </x:c>
      <x:c r="D119" s="4" t="str">
        <x:v>fr</x:v>
      </x:c>
      <x:c r="E119" s="14" t="str">
        <x:v>standard French</x:v>
      </x:c>
      <x:c r="F119" s="4" t="str">
        <x:v>France and Francophonie</x:v>
      </x:c>
      <x:c r="G119" s="4" t="str">
        <x:v>Latn</x:v>
      </x:c>
      <x:c r="H119" s="4" t="str"/>
      <x:c r="I119" s="4" t="str"/>
      <x:c r="J119" s="4" t="str"/>
      <x:c r="K119" s="17" t="str"/>
      <x:c r="L119" s="4" t="str">
        <x:v>mathematics_mixed</x:v>
      </x:c>
      <x:c r="M119" s="4" t="str">
        <x:v>mathematics_mixed</x:v>
      </x:c>
      <x:c r="N119" s="14" t="str">
        <x:v>unreviewed_partial_api_title_inference</x:v>
      </x:c>
      <x:c r="O119" s="4" t="str">
        <x:v>unresolved_register</x:v>
      </x:c>
      <x:c r="P119" s="14" t="str">
        <x:v>Preuve ontologique de Gödel</x:v>
      </x:c>
      <x:c r="Q119" s="4" t="str">
        <x:v>wikitext</x:v>
      </x:c>
      <x:c r="R119" s="25" t="str">
        <x:v>27589</x:v>
      </x:c>
      <x:c r="S119" s="4" t="str">
        <x:v>EE62657E862AB7ED95BC825025E0E3D0FFA4C636DECDA55CB66423D70B49B7A1</x:v>
      </x:c>
      <x:c r="T119" s="4" t="str">
        <x:v>EE62657E862AB7ED95BC825025E0E3D0FFA4C636DECDA55CB66423D70B49B7A1</x:v>
      </x:c>
      <x:c r="U119" s="4" t="str">
        <x:v>source_file_is_canonical_search_text</x:v>
      </x:c>
      <x:c r="V119" s="14" t="str">
        <x:v>https://fr.wikipedia.org/w/index.php?curid=723655&amp;oldid=237897058</x:v>
      </x:c>
      <x:c r="W119" s="14" t="str">
        <x:v>public_http_locator_preserved</x:v>
      </x:c>
      <x:c r="X119" s="4" t="str">
        <x:v>237897058</x:v>
      </x:c>
      <x:c r="Y119" s="14" t="str">
        <x:v>partial_api_acquisition_preserved</x:v>
      </x:c>
      <x:c r="Z119" s="14" t="str">
        <x:v>Wikimedia project text; verify page footer/rightsinfo</x:v>
      </x:c>
      <x:c r="AA119" s="14" t="str">
        <x:v>declared_cc_by_sa_4_0_project_terms_pending_page_match</x:v>
      </x:c>
      <x:c r="AB119" s="4" t="str">
        <x:v>local_computed</x:v>
      </x:c>
      <x:c r="AC119" s="14" t="str">
        <x:v>automatic_search_result_requires_manual_review</x:v>
      </x:c>
      <x:c r="AD119" s="4" t="str">
        <x:v>false</x:v>
      </x:c>
      <x:c r="AE119" s="4" t="str">
        <x:v>true</x:v>
      </x:c>
      <x:c r="AF119" s="4" t="str">
        <x:v>false</x:v>
      </x:c>
      <x:c r="AG119" s="14" t="str">
        <x:v>primary_unique</x:v>
      </x:c>
      <x:c r="AH119" s="25" t="str">
        <x:v>false</x:v>
      </x:c>
      <x:c r="AI119" s="4" t="str">
        <x:v>false</x:v>
      </x:c>
      <x:c r="AJ119" s="4" t="str">
        <x:v>preserved_noncounting_source_or_alias</x:v>
      </x:c>
      <x:c r="AK119" s="4" t="str">
        <x:v>false</x:v>
      </x:c>
      <x:c r="AL119" s="4" t="str">
        <x:v>false</x:v>
      </x:c>
      <x:c r="AM119" s="14" t="str"/>
      <x:c r="AN119" s="14" t="str">
        <x:v>not_declared</x:v>
      </x:c>
      <x:c r="AO119" s="4" t="str">
        <x:v>false</x:v>
      </x:c>
      <x:c r="AP119" s="14" t="str"/>
      <x:c r="AQ119" s="4" t="str"/>
    </x:row>
    <x:row r="120" ht="44" customHeight="1">
      <x:c r="A120" s="14" t="str">
        <x:v>WIKITEXT-FR-7481262-231790986</x:v>
      </x:c>
      <x:c r="B120" s="14" t="str">
        <x:v>WIKI-fr-7481262-231790986</x:v>
      </x:c>
      <x:c r="C120" s="4" t="str">
        <x:v>fr</x:v>
      </x:c>
      <x:c r="D120" s="4" t="str">
        <x:v>fr</x:v>
      </x:c>
      <x:c r="E120" s="14" t="str">
        <x:v>standard French</x:v>
      </x:c>
      <x:c r="F120" s="4" t="str">
        <x:v>France and Francophonie</x:v>
      </x:c>
      <x:c r="G120" s="4" t="str">
        <x:v>Latn</x:v>
      </x:c>
      <x:c r="H120" s="4" t="str"/>
      <x:c r="I120" s="4" t="str"/>
      <x:c r="J120" s="4" t="str"/>
      <x:c r="K120" s="17" t="str"/>
      <x:c r="L120" s="4" t="str">
        <x:v>mathematics_mixed</x:v>
      </x:c>
      <x:c r="M120" s="4" t="str">
        <x:v>mathematics_mixed</x:v>
      </x:c>
      <x:c r="N120" s="14" t="str">
        <x:v>unreviewed_partial_api_title_inference</x:v>
      </x:c>
      <x:c r="O120" s="4" t="str">
        <x:v>unresolved_register</x:v>
      </x:c>
      <x:c r="P120" s="14" t="str">
        <x:v>Julio Rey Pastor</x:v>
      </x:c>
      <x:c r="Q120" s="4" t="str">
        <x:v>wikitext</x:v>
      </x:c>
      <x:c r="R120" s="25" t="str">
        <x:v>16658</x:v>
      </x:c>
      <x:c r="S120" s="4" t="str">
        <x:v>762CB6F0E2BB20E84BC329B968C59E8D85ADB4CA51180A0040245CDAA98EFE67</x:v>
      </x:c>
      <x:c r="T120" s="4" t="str">
        <x:v>762CB6F0E2BB20E84BC329B968C59E8D85ADB4CA51180A0040245CDAA98EFE67</x:v>
      </x:c>
      <x:c r="U120" s="4" t="str">
        <x:v>source_file_is_canonical_search_text</x:v>
      </x:c>
      <x:c r="V120" s="14" t="str">
        <x:v>https://fr.wikipedia.org/w/index.php?curid=7481262&amp;oldid=231790986</x:v>
      </x:c>
      <x:c r="W120" s="14" t="str">
        <x:v>public_http_locator_preserved</x:v>
      </x:c>
      <x:c r="X120" s="4" t="str">
        <x:v>231790986</x:v>
      </x:c>
      <x:c r="Y120" s="14" t="str">
        <x:v>partial_api_acquisition_preserved</x:v>
      </x:c>
      <x:c r="Z120" s="14" t="str">
        <x:v>Wikimedia project text; verify page footer/rightsinfo</x:v>
      </x:c>
      <x:c r="AA120" s="14" t="str">
        <x:v>declared_cc_by_sa_4_0_project_terms_pending_page_match</x:v>
      </x:c>
      <x:c r="AB120" s="4" t="str">
        <x:v>local_computed</x:v>
      </x:c>
      <x:c r="AC120" s="14" t="str">
        <x:v>automatic_search_result_requires_manual_review</x:v>
      </x:c>
      <x:c r="AD120" s="4" t="str">
        <x:v>false</x:v>
      </x:c>
      <x:c r="AE120" s="4" t="str">
        <x:v>true</x:v>
      </x:c>
      <x:c r="AF120" s="4" t="str">
        <x:v>false</x:v>
      </x:c>
      <x:c r="AG120" s="14" t="str">
        <x:v>primary_unique</x:v>
      </x:c>
      <x:c r="AH120" s="25" t="str">
        <x:v>false</x:v>
      </x:c>
      <x:c r="AI120" s="4" t="str">
        <x:v>false</x:v>
      </x:c>
      <x:c r="AJ120" s="4" t="str">
        <x:v>preserved_noncounting_source_or_alias</x:v>
      </x:c>
      <x:c r="AK120" s="4" t="str">
        <x:v>false</x:v>
      </x:c>
      <x:c r="AL120" s="4" t="str">
        <x:v>false</x:v>
      </x:c>
      <x:c r="AM120" s="14" t="str"/>
      <x:c r="AN120" s="14" t="str">
        <x:v>not_declared</x:v>
      </x:c>
      <x:c r="AO120" s="4" t="str">
        <x:v>false</x:v>
      </x:c>
      <x:c r="AP120" s="14" t="str"/>
      <x:c r="AQ120" s="4" t="str"/>
    </x:row>
    <x:row r="121" ht="44" customHeight="1">
      <x:c r="A121" s="14" t="str">
        <x:v>WIKIHTML-FR-9-228034381</x:v>
      </x:c>
      <x:c r="B121" s="14" t="str">
        <x:v>WIKI-fr-9-228034381</x:v>
      </x:c>
      <x:c r="C121" s="4" t="str">
        <x:v>fr</x:v>
      </x:c>
      <x:c r="D121" s="4" t="str">
        <x:v>fr</x:v>
      </x:c>
      <x:c r="E121" s="14" t="str">
        <x:v>standard French</x:v>
      </x:c>
      <x:c r="F121" s="4" t="str">
        <x:v>France and Francophonie</x:v>
      </x:c>
      <x:c r="G121" s="4" t="str">
        <x:v>Latn</x:v>
      </x:c>
      <x:c r="H121" s="4" t="str"/>
      <x:c r="I121" s="4" t="str"/>
      <x:c r="J121" s="4" t="str"/>
      <x:c r="K121" s="17" t="str"/>
      <x:c r="L121" s="4" t="str">
        <x:v>abstract_algebra</x:v>
      </x:c>
      <x:c r="M121" s="4" t="str">
        <x:v>abstract_algebra</x:v>
      </x:c>
      <x:c r="N121" s="14" t="str">
        <x:v>manual_topic_review_20260717</x:v>
      </x:c>
      <x:c r="O121" s="4" t="str">
        <x:v>unresolved_register</x:v>
      </x:c>
      <x:c r="P121" s="14" t="str">
        <x:v>Algèbre générale</x:v>
      </x:c>
      <x:c r="Q121" s="4" t="str">
        <x:v>html</x:v>
      </x:c>
      <x:c r="R121" s="25" t="str">
        <x:v>127314</x:v>
      </x:c>
      <x:c r="S121" s="4" t="str">
        <x:v>EC8DF3C03755465CB19637C06D3AEA4834A5F384E13A397EABB7DBBDC1AF6C92</x:v>
      </x:c>
      <x:c r="T121" s="4" t="str">
        <x:v>4572EFC4FF0605E49C22987FE9097F818B8EB5D5BA7D4512ABAC0EEFCFDD869C</x:v>
      </x:c>
      <x:c r="U121" s="4" t="str">
        <x:v>derived_visible_text</x:v>
      </x:c>
      <x:c r="V121" s="14" t="str">
        <x:v>https://fr.wikipedia.org/w/index.php?curid=9&amp;oldid=228034381</x:v>
      </x:c>
      <x:c r="W121" s="14" t="str">
        <x:v>public_http_locator_preserved</x:v>
      </x:c>
      <x:c r="X121" s="4" t="str">
        <x:v>228034381</x:v>
      </x:c>
      <x:c r="Y121" s="14" t="str">
        <x:v>native_revision_pinned_context_shelf</x:v>
      </x:c>
      <x:c r="Z121" s="14" t="str">
        <x:v>https://creativecommons.org/licenses/by-sa/4.0/deed.fr</x:v>
      </x:c>
      <x:c r="AA121" s="14" t="str">
        <x:v>declared_cc_by_sa_4_0</x:v>
      </x:c>
      <x:c r="AB121" s="4" t="str">
        <x:v>local_computed</x:v>
      </x:c>
      <x:c r="AC121" s="14" t="str">
        <x:v>page_topic_reviewed_term_occurrences_require_context_review</x:v>
      </x:c>
      <x:c r="AD121" s="4" t="str">
        <x:v>true</x:v>
      </x:c>
      <x:c r="AE121" s="4" t="str">
        <x:v>true</x:v>
      </x:c>
      <x:c r="AF121" s="4" t="str">
        <x:v>false</x:v>
      </x:c>
      <x:c r="AG121" s="14" t="str">
        <x:v>primary_unique</x:v>
      </x:c>
      <x:c r="AH121" s="25" t="str">
        <x:v>true</x:v>
      </x:c>
      <x:c r="AI121" s="4" t="str">
        <x:v>false</x:v>
      </x:c>
      <x:c r="AJ121" s="4" t="str">
        <x:v>active_source_body</x:v>
      </x:c>
      <x:c r="AK121" s="4" t="str">
        <x:v>true</x:v>
      </x:c>
      <x:c r="AL121" s="4" t="str">
        <x:v>false</x:v>
      </x:c>
      <x:c r="AM121" s="14" t="str"/>
      <x:c r="AN121" s="14" t="str">
        <x:v>not_declared</x:v>
      </x:c>
      <x:c r="AO121" s="4" t="str">
        <x:v>true</x:v>
      </x:c>
      <x:c r="AP121" s="14" t="str"/>
      <x:c r="AQ121" s="4" t="str"/>
    </x:row>
    <x:row r="122" ht="44" customHeight="1">
      <x:c r="A122" s="14" t="str">
        <x:v>WIKIHTML-FR-96201-235538713</x:v>
      </x:c>
      <x:c r="B122" s="14" t="str">
        <x:v>WIKI-fr-96201-235538713</x:v>
      </x:c>
      <x:c r="C122" s="4" t="str">
        <x:v>fr</x:v>
      </x:c>
      <x:c r="D122" s="4" t="str">
        <x:v>fr</x:v>
      </x:c>
      <x:c r="E122" s="14" t="str">
        <x:v>standard French</x:v>
      </x:c>
      <x:c r="F122" s="4" t="str">
        <x:v>France and Francophonie</x:v>
      </x:c>
      <x:c r="G122" s="4" t="str">
        <x:v>Latn</x:v>
      </x:c>
      <x:c r="H122" s="4" t="str"/>
      <x:c r="I122" s="4" t="str"/>
      <x:c r="J122" s="4" t="str"/>
      <x:c r="K122" s="17" t="str"/>
      <x:c r="L122" s="4" t="str">
        <x:v>abstract_algebra</x:v>
      </x:c>
      <x:c r="M122" s="4" t="str">
        <x:v>abstract_algebra;field_theory</x:v>
      </x:c>
      <x:c r="N122" s="14" t="str">
        <x:v>manual_topic_review_20260717</x:v>
      </x:c>
      <x:c r="O122" s="4" t="str">
        <x:v>unresolved_register</x:v>
      </x:c>
      <x:c r="P122" s="14" t="str">
        <x:v>Algèbre sur un corps</x:v>
      </x:c>
      <x:c r="Q122" s="4" t="str">
        <x:v>html</x:v>
      </x:c>
      <x:c r="R122" s="25" t="str">
        <x:v>223920</x:v>
      </x:c>
      <x:c r="S122" s="4" t="str">
        <x:v>6AEE61532AE101121C1548CC55EB0CF3EC1A33B572B1308B41F27C723E37E5C6</x:v>
      </x:c>
      <x:c r="T122" s="4" t="str">
        <x:v>38FDC5667C5FD3073F907FE38FAAAF8E3D12A98B1D6985385AF50BA17A7612B1</x:v>
      </x:c>
      <x:c r="U122" s="4" t="str">
        <x:v>derived_visible_text</x:v>
      </x:c>
      <x:c r="V122" s="14" t="str">
        <x:v>https://fr.wikipedia.org/w/index.php?curid=96201&amp;oldid=235538713</x:v>
      </x:c>
      <x:c r="W122" s="14" t="str">
        <x:v>public_http_locator_preserved</x:v>
      </x:c>
      <x:c r="X122" s="4" t="str">
        <x:v>235538713</x:v>
      </x:c>
      <x:c r="Y122" s="14" t="str">
        <x:v>native_revision_pinned_context_shelf</x:v>
      </x:c>
      <x:c r="Z122" s="14" t="str">
        <x:v>https://creativecommons.org/licenses/by-sa/4.0/deed.fr</x:v>
      </x:c>
      <x:c r="AA122" s="14" t="str">
        <x:v>declared_cc_by_sa_4_0</x:v>
      </x:c>
      <x:c r="AB122" s="4" t="str">
        <x:v>local_computed</x:v>
      </x:c>
      <x:c r="AC122" s="14" t="str">
        <x:v>page_topic_reviewed_term_occurrences_require_context_review</x:v>
      </x:c>
      <x:c r="AD122" s="4" t="str">
        <x:v>true</x:v>
      </x:c>
      <x:c r="AE122" s="4" t="str">
        <x:v>true</x:v>
      </x:c>
      <x:c r="AF122" s="4" t="str">
        <x:v>false</x:v>
      </x:c>
      <x:c r="AG122" s="14" t="str">
        <x:v>primary_unique</x:v>
      </x:c>
      <x:c r="AH122" s="25" t="str">
        <x:v>true</x:v>
      </x:c>
      <x:c r="AI122" s="4" t="str">
        <x:v>false</x:v>
      </x:c>
      <x:c r="AJ122" s="4" t="str">
        <x:v>active_source_body</x:v>
      </x:c>
      <x:c r="AK122" s="4" t="str">
        <x:v>true</x:v>
      </x:c>
      <x:c r="AL122" s="4" t="str">
        <x:v>false</x:v>
      </x:c>
      <x:c r="AM122" s="14" t="str"/>
      <x:c r="AN122" s="14" t="str">
        <x:v>not_declared</x:v>
      </x:c>
      <x:c r="AO122" s="4" t="str">
        <x:v>true</x:v>
      </x:c>
      <x:c r="AP122" s="14" t="str"/>
      <x:c r="AQ122" s="4" t="str"/>
    </x:row>
    <x:row r="123" ht="44" customHeight="1">
      <x:c r="A123" s="14" t="str">
        <x:v>WIKIHTML-GL-167091-7442913</x:v>
      </x:c>
      <x:c r="B123" s="14" t="str">
        <x:v>WIKI-gl-167091-7442913</x:v>
      </x:c>
      <x:c r="C123" s="4" t="str">
        <x:v>gl</x:v>
      </x:c>
      <x:c r="D123" s="4" t="str">
        <x:v>gl</x:v>
      </x:c>
      <x:c r="E123" s="14" t="str">
        <x:v>standard Galician</x:v>
      </x:c>
      <x:c r="F123" s="4" t="str">
        <x:v>Galicia</x:v>
      </x:c>
      <x:c r="G123" s="4" t="str">
        <x:v>Latn</x:v>
      </x:c>
      <x:c r="H123" s="4" t="str"/>
      <x:c r="I123" s="4" t="str"/>
      <x:c r="J123" s="4" t="str"/>
      <x:c r="K123" s="17" t="str"/>
      <x:c r="L123" s="4" t="str">
        <x:v>proof_register</x:v>
      </x:c>
      <x:c r="M123" s="4" t="str">
        <x:v>proof_register;mathematics_general</x:v>
      </x:c>
      <x:c r="N123" s="14" t="str">
        <x:v>manual_topic_review_20260717</x:v>
      </x:c>
      <x:c r="O123" s="4" t="str">
        <x:v>unresolved_register</x:v>
      </x:c>
      <x:c r="P123" s="14" t="str">
        <x:v>Proba matemática</x:v>
      </x:c>
      <x:c r="Q123" s="4" t="str">
        <x:v>html</x:v>
      </x:c>
      <x:c r="R123" s="25" t="str">
        <x:v>346803</x:v>
      </x:c>
      <x:c r="S123" s="4" t="str">
        <x:v>28C3F8ABDB18EA7B77A8B611E3169A2B4AE4FE09037FD1272E9C06217ABE6307</x:v>
      </x:c>
      <x:c r="T123" s="4" t="str">
        <x:v>4498F180584EA2AA3F92F675E8069FB405E63F3A7F805F0565E203F5A46090FF</x:v>
      </x:c>
      <x:c r="U123" s="4" t="str">
        <x:v>derived_visible_text</x:v>
      </x:c>
      <x:c r="V123" s="14" t="str">
        <x:v>https://gl.wikipedia.org/w/index.php?curid=167091&amp;oldid=7442913</x:v>
      </x:c>
      <x:c r="W123" s="14" t="str">
        <x:v>public_http_locator_preserved</x:v>
      </x:c>
      <x:c r="X123" s="4" t="str">
        <x:v>7442913</x:v>
      </x:c>
      <x:c r="Y123" s="14" t="str">
        <x:v>native_revision_pinned_context_shelf</x:v>
      </x:c>
      <x:c r="Z123" s="14" t="str">
        <x:v>https://creativecommons.org/licenses/by-sa/4.0/deed.gl</x:v>
      </x:c>
      <x:c r="AA123" s="14" t="str">
        <x:v>declared_cc_by_sa_4_0</x:v>
      </x:c>
      <x:c r="AB123" s="4" t="str">
        <x:v>local_computed</x:v>
      </x:c>
      <x:c r="AC123" s="14" t="str">
        <x:v>page_topic_reviewed_term_occurrences_require_context_review</x:v>
      </x:c>
      <x:c r="AD123" s="4" t="str">
        <x:v>true</x:v>
      </x:c>
      <x:c r="AE123" s="4" t="str">
        <x:v>true</x:v>
      </x:c>
      <x:c r="AF123" s="4" t="str">
        <x:v>false</x:v>
      </x:c>
      <x:c r="AG123" s="14" t="str">
        <x:v>primary_unique</x:v>
      </x:c>
      <x:c r="AH123" s="25" t="str">
        <x:v>true</x:v>
      </x:c>
      <x:c r="AI123" s="4" t="str">
        <x:v>false</x:v>
      </x:c>
      <x:c r="AJ123" s="4" t="str">
        <x:v>active_source_body</x:v>
      </x:c>
      <x:c r="AK123" s="4" t="str">
        <x:v>true</x:v>
      </x:c>
      <x:c r="AL123" s="4" t="str">
        <x:v>false</x:v>
      </x:c>
      <x:c r="AM123" s="14" t="str"/>
      <x:c r="AN123" s="14" t="str">
        <x:v>not_declared</x:v>
      </x:c>
      <x:c r="AO123" s="4" t="str">
        <x:v>false</x:v>
      </x:c>
      <x:c r="AP123" s="14" t="str"/>
      <x:c r="AQ123" s="4" t="str"/>
    </x:row>
    <x:row r="124" ht="44" customHeight="1">
      <x:c r="A124" s="14" t="str">
        <x:v>WIKIHTML-GL-169282-7404099</x:v>
      </x:c>
      <x:c r="B124" s="14" t="str">
        <x:v>WIKI-gl-169282-7404099</x:v>
      </x:c>
      <x:c r="C124" s="4" t="str">
        <x:v>gl</x:v>
      </x:c>
      <x:c r="D124" s="4" t="str">
        <x:v>gl</x:v>
      </x:c>
      <x:c r="E124" s="14" t="str">
        <x:v>standard Galician</x:v>
      </x:c>
      <x:c r="F124" s="4" t="str">
        <x:v>Galicia</x:v>
      </x:c>
      <x:c r="G124" s="4" t="str">
        <x:v>Latn</x:v>
      </x:c>
      <x:c r="H124" s="4" t="str"/>
      <x:c r="I124" s="4" t="str"/>
      <x:c r="J124" s="4" t="str"/>
      <x:c r="K124" s="17" t="str"/>
      <x:c r="L124" s="4" t="str">
        <x:v>group_theory</x:v>
      </x:c>
      <x:c r="M124" s="4" t="str">
        <x:v>group_theory;abstract_algebra</x:v>
      </x:c>
      <x:c r="N124" s="14" t="str">
        <x:v>manual_topic_review_20260717</x:v>
      </x:c>
      <x:c r="O124" s="4" t="str">
        <x:v>unresolved_register</x:v>
      </x:c>
      <x:c r="P124" s="14" t="str">
        <x:v>Teoría de grupos</x:v>
      </x:c>
      <x:c r="Q124" s="4" t="str">
        <x:v>html</x:v>
      </x:c>
      <x:c r="R124" s="25" t="str">
        <x:v>206763</x:v>
      </x:c>
      <x:c r="S124" s="4" t="str">
        <x:v>D7EFD0780ABE7DAA443CCE280D946E0B5B19EAD4BFB770B89197D4AB30718C5B</x:v>
      </x:c>
      <x:c r="T124" s="4" t="str">
        <x:v>643C204EFBAC08A6C930832A9D036C93D82412690DDC8A86993284C75BDBE20A</x:v>
      </x:c>
      <x:c r="U124" s="4" t="str">
        <x:v>derived_visible_text</x:v>
      </x:c>
      <x:c r="V124" s="14" t="str">
        <x:v>https://gl.wikipedia.org/w/index.php?curid=169282&amp;oldid=7404099</x:v>
      </x:c>
      <x:c r="W124" s="14" t="str">
        <x:v>public_http_locator_preserved</x:v>
      </x:c>
      <x:c r="X124" s="4" t="str">
        <x:v>7404099</x:v>
      </x:c>
      <x:c r="Y124" s="14" t="str">
        <x:v>native_revision_pinned_context_shelf</x:v>
      </x:c>
      <x:c r="Z124" s="14" t="str">
        <x:v>https://creativecommons.org/licenses/by-sa/4.0/deed.gl</x:v>
      </x:c>
      <x:c r="AA124" s="14" t="str">
        <x:v>declared_cc_by_sa_4_0</x:v>
      </x:c>
      <x:c r="AB124" s="4" t="str">
        <x:v>local_computed</x:v>
      </x:c>
      <x:c r="AC124" s="14" t="str">
        <x:v>page_topic_reviewed_term_occurrences_require_context_review</x:v>
      </x:c>
      <x:c r="AD124" s="4" t="str">
        <x:v>true</x:v>
      </x:c>
      <x:c r="AE124" s="4" t="str">
        <x:v>true</x:v>
      </x:c>
      <x:c r="AF124" s="4" t="str">
        <x:v>false</x:v>
      </x:c>
      <x:c r="AG124" s="14" t="str">
        <x:v>primary_unique</x:v>
      </x:c>
      <x:c r="AH124" s="25" t="str">
        <x:v>true</x:v>
      </x:c>
      <x:c r="AI124" s="4" t="str">
        <x:v>false</x:v>
      </x:c>
      <x:c r="AJ124" s="4" t="str">
        <x:v>active_source_body</x:v>
      </x:c>
      <x:c r="AK124" s="4" t="str">
        <x:v>true</x:v>
      </x:c>
      <x:c r="AL124" s="4" t="str">
        <x:v>false</x:v>
      </x:c>
      <x:c r="AM124" s="14" t="str"/>
      <x:c r="AN124" s="14" t="str">
        <x:v>not_declared</x:v>
      </x:c>
      <x:c r="AO124" s="4" t="str">
        <x:v>true</x:v>
      </x:c>
      <x:c r="AP124" s="14" t="str"/>
      <x:c r="AQ124" s="4" t="str"/>
    </x:row>
    <x:row r="125" ht="44" customHeight="1">
      <x:c r="A125" s="14" t="str">
        <x:v>WIKIHTML-GL-209642-6945035</x:v>
      </x:c>
      <x:c r="B125" s="14" t="str">
        <x:v>WIKI-gl-209642-6945035</x:v>
      </x:c>
      <x:c r="C125" s="4" t="str">
        <x:v>gl</x:v>
      </x:c>
      <x:c r="D125" s="4" t="str">
        <x:v>gl</x:v>
      </x:c>
      <x:c r="E125" s="14" t="str">
        <x:v>standard Galician</x:v>
      </x:c>
      <x:c r="F125" s="4" t="str">
        <x:v>Galicia</x:v>
      </x:c>
      <x:c r="G125" s="4" t="str">
        <x:v>Latn</x:v>
      </x:c>
      <x:c r="H125" s="4" t="str"/>
      <x:c r="I125" s="4" t="str"/>
      <x:c r="J125" s="4" t="str"/>
      <x:c r="K125" s="17" t="str"/>
      <x:c r="L125" s="4" t="str">
        <x:v>field_theory</x:v>
      </x:c>
      <x:c r="M125" s="4" t="str">
        <x:v>field_theory;abstract_algebra</x:v>
      </x:c>
      <x:c r="N125" s="14" t="str">
        <x:v>manual_topic_review_20260717</x:v>
      </x:c>
      <x:c r="O125" s="4" t="str">
        <x:v>unresolved_register</x:v>
      </x:c>
      <x:c r="P125" s="14" t="str">
        <x:v>Corpo (álxebra)</x:v>
      </x:c>
      <x:c r="Q125" s="4" t="str">
        <x:v>html</x:v>
      </x:c>
      <x:c r="R125" s="25" t="str">
        <x:v>168599</x:v>
      </x:c>
      <x:c r="S125" s="4" t="str">
        <x:v>639F9C1386FDC1626745B699311EE87DCE516D423567DC8FF13AAA2B6FC75338</x:v>
      </x:c>
      <x:c r="T125" s="4" t="str">
        <x:v>003FB85377AAB48FFA5934A0F10CC774D4603F523E659DBB89D11B05057DDEBE</x:v>
      </x:c>
      <x:c r="U125" s="4" t="str">
        <x:v>derived_visible_text</x:v>
      </x:c>
      <x:c r="V125" s="14" t="str">
        <x:v>https://gl.wikipedia.org/w/index.php?curid=209642&amp;oldid=6945035</x:v>
      </x:c>
      <x:c r="W125" s="14" t="str">
        <x:v>public_http_locator_preserved</x:v>
      </x:c>
      <x:c r="X125" s="4" t="str">
        <x:v>6945035</x:v>
      </x:c>
      <x:c r="Y125" s="14" t="str">
        <x:v>native_revision_pinned_context_shelf</x:v>
      </x:c>
      <x:c r="Z125" s="14" t="str">
        <x:v>https://creativecommons.org/licenses/by-sa/4.0/deed.gl</x:v>
      </x:c>
      <x:c r="AA125" s="14" t="str">
        <x:v>declared_cc_by_sa_4_0</x:v>
      </x:c>
      <x:c r="AB125" s="4" t="str">
        <x:v>local_computed</x:v>
      </x:c>
      <x:c r="AC125" s="14" t="str">
        <x:v>page_topic_reviewed_term_occurrences_require_context_review</x:v>
      </x:c>
      <x:c r="AD125" s="4" t="str">
        <x:v>true</x:v>
      </x:c>
      <x:c r="AE125" s="4" t="str">
        <x:v>true</x:v>
      </x:c>
      <x:c r="AF125" s="4" t="str">
        <x:v>false</x:v>
      </x:c>
      <x:c r="AG125" s="14" t="str">
        <x:v>primary_unique</x:v>
      </x:c>
      <x:c r="AH125" s="25" t="str">
        <x:v>true</x:v>
      </x:c>
      <x:c r="AI125" s="4" t="str">
        <x:v>false</x:v>
      </x:c>
      <x:c r="AJ125" s="4" t="str">
        <x:v>active_source_body</x:v>
      </x:c>
      <x:c r="AK125" s="4" t="str">
        <x:v>true</x:v>
      </x:c>
      <x:c r="AL125" s="4" t="str">
        <x:v>false</x:v>
      </x:c>
      <x:c r="AM125" s="14" t="str"/>
      <x:c r="AN125" s="14" t="str">
        <x:v>not_declared</x:v>
      </x:c>
      <x:c r="AO125" s="4" t="str">
        <x:v>true</x:v>
      </x:c>
      <x:c r="AP125" s="14" t="str"/>
      <x:c r="AQ125" s="4" t="str"/>
    </x:row>
    <x:row r="126" ht="44" customHeight="1">
      <x:c r="A126" s="14" t="str">
        <x:v>WIKIHTML-GL-209662-7399914</x:v>
      </x:c>
      <x:c r="B126" s="14" t="str">
        <x:v>WIKI-gl-209662-7399914</x:v>
      </x:c>
      <x:c r="C126" s="4" t="str">
        <x:v>gl</x:v>
      </x:c>
      <x:c r="D126" s="4" t="str">
        <x:v>gl</x:v>
      </x:c>
      <x:c r="E126" s="14" t="str">
        <x:v>standard Galician</x:v>
      </x:c>
      <x:c r="F126" s="4" t="str">
        <x:v>Galicia</x:v>
      </x:c>
      <x:c r="G126" s="4" t="str">
        <x:v>Latn</x:v>
      </x:c>
      <x:c r="H126" s="4" t="str"/>
      <x:c r="I126" s="4" t="str"/>
      <x:c r="J126" s="4" t="str"/>
      <x:c r="K126" s="17" t="str"/>
      <x:c r="L126" s="4" t="str">
        <x:v>ring_theory</x:v>
      </x:c>
      <x:c r="M126" s="4" t="str">
        <x:v>ring_theory;abstract_algebra</x:v>
      </x:c>
      <x:c r="N126" s="14" t="str">
        <x:v>manual_topic_review_20260717</x:v>
      </x:c>
      <x:c r="O126" s="4" t="str">
        <x:v>unresolved_register</x:v>
      </x:c>
      <x:c r="P126" s="14" t="str">
        <x:v>Anel (álxebra)</x:v>
      </x:c>
      <x:c r="Q126" s="4" t="str">
        <x:v>html</x:v>
      </x:c>
      <x:c r="R126" s="25" t="str">
        <x:v>271682</x:v>
      </x:c>
      <x:c r="S126" s="4" t="str">
        <x:v>1AD85C58AECDFBB402A6680C702D2D5B44E6292B6ECA3B3B48DBC4AE4107724D</x:v>
      </x:c>
      <x:c r="T126" s="4" t="str">
        <x:v>C8A6A21EFB16BBA0DE2878BC57B43EEC9BD9C594871667DE093E6B6FE23D442B</x:v>
      </x:c>
      <x:c r="U126" s="4" t="str">
        <x:v>derived_visible_text</x:v>
      </x:c>
      <x:c r="V126" s="14" t="str">
        <x:v>https://gl.wikipedia.org/w/index.php?curid=209662&amp;oldid=7399914</x:v>
      </x:c>
      <x:c r="W126" s="14" t="str">
        <x:v>public_http_locator_preserved</x:v>
      </x:c>
      <x:c r="X126" s="4" t="str">
        <x:v>7399914</x:v>
      </x:c>
      <x:c r="Y126" s="14" t="str">
        <x:v>native_revision_pinned_context_shelf</x:v>
      </x:c>
      <x:c r="Z126" s="14" t="str">
        <x:v>https://creativecommons.org/licenses/by-sa/4.0/deed.gl</x:v>
      </x:c>
      <x:c r="AA126" s="14" t="str">
        <x:v>declared_cc_by_sa_4_0</x:v>
      </x:c>
      <x:c r="AB126" s="4" t="str">
        <x:v>local_computed</x:v>
      </x:c>
      <x:c r="AC126" s="14" t="str">
        <x:v>page_topic_reviewed_term_occurrences_require_context_review</x:v>
      </x:c>
      <x:c r="AD126" s="4" t="str">
        <x:v>true</x:v>
      </x:c>
      <x:c r="AE126" s="4" t="str">
        <x:v>true</x:v>
      </x:c>
      <x:c r="AF126" s="4" t="str">
        <x:v>false</x:v>
      </x:c>
      <x:c r="AG126" s="14" t="str">
        <x:v>primary_unique</x:v>
      </x:c>
      <x:c r="AH126" s="25" t="str">
        <x:v>true</x:v>
      </x:c>
      <x:c r="AI126" s="4" t="str">
        <x:v>false</x:v>
      </x:c>
      <x:c r="AJ126" s="4" t="str">
        <x:v>active_source_body</x:v>
      </x:c>
      <x:c r="AK126" s="4" t="str">
        <x:v>true</x:v>
      </x:c>
      <x:c r="AL126" s="4" t="str">
        <x:v>false</x:v>
      </x:c>
      <x:c r="AM126" s="14" t="str"/>
      <x:c r="AN126" s="14" t="str">
        <x:v>not_declared</x:v>
      </x:c>
      <x:c r="AO126" s="4" t="str">
        <x:v>true</x:v>
      </x:c>
      <x:c r="AP126" s="14" t="str"/>
      <x:c r="AQ126" s="4" t="str"/>
    </x:row>
    <x:row r="127" ht="44" customHeight="1">
      <x:c r="A127" s="14" t="str">
        <x:v>WIKIHTML-GL-317094-6945037</x:v>
      </x:c>
      <x:c r="B127" s="14" t="str">
        <x:v>WIKI-gl-317094-6945037</x:v>
      </x:c>
      <x:c r="C127" s="4" t="str">
        <x:v>gl</x:v>
      </x:c>
      <x:c r="D127" s="4" t="str">
        <x:v>gl</x:v>
      </x:c>
      <x:c r="E127" s="14" t="str">
        <x:v>standard Galician</x:v>
      </x:c>
      <x:c r="F127" s="4" t="str">
        <x:v>Galicia</x:v>
      </x:c>
      <x:c r="G127" s="4" t="str">
        <x:v>Latn</x:v>
      </x:c>
      <x:c r="H127" s="4" t="str"/>
      <x:c r="I127" s="4" t="str"/>
      <x:c r="J127" s="4" t="str"/>
      <x:c r="K127" s="17" t="str"/>
      <x:c r="L127" s="4" t="str">
        <x:v>module_theory</x:v>
      </x:c>
      <x:c r="M127" s="4" t="str">
        <x:v>module_theory;ring_theory</x:v>
      </x:c>
      <x:c r="N127" s="14" t="str">
        <x:v>manual_topic_review_20260717</x:v>
      </x:c>
      <x:c r="O127" s="4" t="str">
        <x:v>unresolved_register</x:v>
      </x:c>
      <x:c r="P127" s="14" t="str">
        <x:v>Módulo (álxebra)</x:v>
      </x:c>
      <x:c r="Q127" s="4" t="str">
        <x:v>html</x:v>
      </x:c>
      <x:c r="R127" s="25" t="str">
        <x:v>101972</x:v>
      </x:c>
      <x:c r="S127" s="4" t="str">
        <x:v>E2F7481FC3B765F2B6634E2F9C8364CDCBB2EAAF75D686F7D04AC6534E9AF34A</x:v>
      </x:c>
      <x:c r="T127" s="4" t="str">
        <x:v>CA450D6E76A81721E350A2EC12532C02794105D1AF0FAC03BEB1AF7AE9764266</x:v>
      </x:c>
      <x:c r="U127" s="4" t="str">
        <x:v>derived_visible_text</x:v>
      </x:c>
      <x:c r="V127" s="14" t="str">
        <x:v>https://gl.wikipedia.org/w/index.php?curid=317094&amp;oldid=6945037</x:v>
      </x:c>
      <x:c r="W127" s="14" t="str">
        <x:v>public_http_locator_preserved</x:v>
      </x:c>
      <x:c r="X127" s="4" t="str">
        <x:v>6945037</x:v>
      </x:c>
      <x:c r="Y127" s="14" t="str">
        <x:v>native_revision_pinned_context_shelf</x:v>
      </x:c>
      <x:c r="Z127" s="14" t="str">
        <x:v>https://creativecommons.org/licenses/by-sa/4.0/deed.gl</x:v>
      </x:c>
      <x:c r="AA127" s="14" t="str">
        <x:v>declared_cc_by_sa_4_0</x:v>
      </x:c>
      <x:c r="AB127" s="4" t="str">
        <x:v>local_computed</x:v>
      </x:c>
      <x:c r="AC127" s="14" t="str">
        <x:v>page_topic_reviewed_term_occurrences_require_context_review</x:v>
      </x:c>
      <x:c r="AD127" s="4" t="str">
        <x:v>true</x:v>
      </x:c>
      <x:c r="AE127" s="4" t="str">
        <x:v>true</x:v>
      </x:c>
      <x:c r="AF127" s="4" t="str">
        <x:v>false</x:v>
      </x:c>
      <x:c r="AG127" s="14" t="str">
        <x:v>primary_unique</x:v>
      </x:c>
      <x:c r="AH127" s="25" t="str">
        <x:v>true</x:v>
      </x:c>
      <x:c r="AI127" s="4" t="str">
        <x:v>false</x:v>
      </x:c>
      <x:c r="AJ127" s="4" t="str">
        <x:v>active_source_body</x:v>
      </x:c>
      <x:c r="AK127" s="4" t="str">
        <x:v>true</x:v>
      </x:c>
      <x:c r="AL127" s="4" t="str">
        <x:v>false</x:v>
      </x:c>
      <x:c r="AM127" s="14" t="str"/>
      <x:c r="AN127" s="14" t="str">
        <x:v>not_declared</x:v>
      </x:c>
      <x:c r="AO127" s="4" t="str">
        <x:v>true</x:v>
      </x:c>
      <x:c r="AP127" s="14" t="str"/>
      <x:c r="AQ127" s="4" t="str"/>
    </x:row>
    <x:row r="128" ht="44" customHeight="1">
      <x:c r="A128" s="14" t="str">
        <x:v>WIKIHTML-GL-51033-7114436</x:v>
      </x:c>
      <x:c r="B128" s="14" t="str">
        <x:v>WIKI-gl-51033-7114436</x:v>
      </x:c>
      <x:c r="C128" s="4" t="str">
        <x:v>gl</x:v>
      </x:c>
      <x:c r="D128" s="4" t="str">
        <x:v>gl</x:v>
      </x:c>
      <x:c r="E128" s="14" t="str">
        <x:v>standard Galician</x:v>
      </x:c>
      <x:c r="F128" s="4" t="str">
        <x:v>Galicia</x:v>
      </x:c>
      <x:c r="G128" s="4" t="str">
        <x:v>Latn</x:v>
      </x:c>
      <x:c r="H128" s="4" t="str"/>
      <x:c r="I128" s="4" t="str"/>
      <x:c r="J128" s="4" t="str"/>
      <x:c r="K128" s="17" t="str"/>
      <x:c r="L128" s="4" t="str">
        <x:v>abstract_algebra</x:v>
      </x:c>
      <x:c r="M128" s="4" t="str">
        <x:v>abstract_algebra</x:v>
      </x:c>
      <x:c r="N128" s="14" t="str">
        <x:v>manual_topic_review_20260717</x:v>
      </x:c>
      <x:c r="O128" s="4" t="str">
        <x:v>unresolved_register</x:v>
      </x:c>
      <x:c r="P128" s="14" t="str">
        <x:v>Álxebra abstracta</x:v>
      </x:c>
      <x:c r="Q128" s="4" t="str">
        <x:v>html</x:v>
      </x:c>
      <x:c r="R128" s="25" t="str">
        <x:v>165259</x:v>
      </x:c>
      <x:c r="S128" s="4" t="str">
        <x:v>B4D9F94336432684649EFEEDA93C037336DA6F941AFCE6D0590F2C120E6E69C1</x:v>
      </x:c>
      <x:c r="T128" s="4" t="str">
        <x:v>3E3D912E1873222B59B5236471F54C97995A4B0046E9641279E6E7CC9D6A5EA7</x:v>
      </x:c>
      <x:c r="U128" s="4" t="str">
        <x:v>derived_visible_text</x:v>
      </x:c>
      <x:c r="V128" s="14" t="str">
        <x:v>https://gl.wikipedia.org/w/index.php?curid=51033&amp;oldid=7114436</x:v>
      </x:c>
      <x:c r="W128" s="14" t="str">
        <x:v>public_http_locator_preserved</x:v>
      </x:c>
      <x:c r="X128" s="4" t="str">
        <x:v>7114436</x:v>
      </x:c>
      <x:c r="Y128" s="14" t="str">
        <x:v>native_revision_pinned_context_shelf</x:v>
      </x:c>
      <x:c r="Z128" s="14" t="str">
        <x:v>https://creativecommons.org/licenses/by-sa/4.0/deed.gl</x:v>
      </x:c>
      <x:c r="AA128" s="14" t="str">
        <x:v>declared_cc_by_sa_4_0</x:v>
      </x:c>
      <x:c r="AB128" s="4" t="str">
        <x:v>local_computed</x:v>
      </x:c>
      <x:c r="AC128" s="14" t="str">
        <x:v>page_topic_reviewed_term_occurrences_require_context_review</x:v>
      </x:c>
      <x:c r="AD128" s="4" t="str">
        <x:v>true</x:v>
      </x:c>
      <x:c r="AE128" s="4" t="str">
        <x:v>true</x:v>
      </x:c>
      <x:c r="AF128" s="4" t="str">
        <x:v>false</x:v>
      </x:c>
      <x:c r="AG128" s="14" t="str">
        <x:v>primary_unique</x:v>
      </x:c>
      <x:c r="AH128" s="25" t="str">
        <x:v>true</x:v>
      </x:c>
      <x:c r="AI128" s="4" t="str">
        <x:v>false</x:v>
      </x:c>
      <x:c r="AJ128" s="4" t="str">
        <x:v>active_source_body</x:v>
      </x:c>
      <x:c r="AK128" s="4" t="str">
        <x:v>true</x:v>
      </x:c>
      <x:c r="AL128" s="4" t="str">
        <x:v>false</x:v>
      </x:c>
      <x:c r="AM128" s="14" t="str"/>
      <x:c r="AN128" s="14" t="str">
        <x:v>not_declared</x:v>
      </x:c>
      <x:c r="AO128" s="4" t="str">
        <x:v>true</x:v>
      </x:c>
      <x:c r="AP128" s="14" t="str"/>
      <x:c r="AQ128" s="4" t="str"/>
    </x:row>
    <x:row r="129" ht="44" customHeight="1">
      <x:c r="A129" s="14" t="str">
        <x:v>WIKIHTML-IT-31716-145498082</x:v>
      </x:c>
      <x:c r="B129" s="14" t="str">
        <x:v>WIKI-it-31716-145498082</x:v>
      </x:c>
      <x:c r="C129" s="4" t="str">
        <x:v>it</x:v>
      </x:c>
      <x:c r="D129" s="4" t="str">
        <x:v>it</x:v>
      </x:c>
      <x:c r="E129" s="14" t="str">
        <x:v>standard Italian</x:v>
      </x:c>
      <x:c r="F129" s="4" t="str">
        <x:v>Italy and Switzerland</x:v>
      </x:c>
      <x:c r="G129" s="4" t="str">
        <x:v>Latn</x:v>
      </x:c>
      <x:c r="H129" s="4" t="str"/>
      <x:c r="I129" s="4" t="str"/>
      <x:c r="J129" s="4" t="str"/>
      <x:c r="K129" s="17" t="str"/>
      <x:c r="L129" s="4" t="str">
        <x:v>field_theory</x:v>
      </x:c>
      <x:c r="M129" s="4" t="str">
        <x:v>field_theory;abstract_algebra</x:v>
      </x:c>
      <x:c r="N129" s="14" t="str">
        <x:v>manual_topic_review_20260717</x:v>
      </x:c>
      <x:c r="O129" s="4" t="str">
        <x:v>unresolved_register</x:v>
      </x:c>
      <x:c r="P129" s="14" t="str">
        <x:v>Campo (matematica)</x:v>
      </x:c>
      <x:c r="Q129" s="4" t="str">
        <x:v>html</x:v>
      </x:c>
      <x:c r="R129" s="25" t="str">
        <x:v>445981</x:v>
      </x:c>
      <x:c r="S129" s="4" t="str">
        <x:v>226CC995643D3F1B325D1BD30D5BD66FA6B18141E2B5AFC2BAB34262C59D9A12</x:v>
      </x:c>
      <x:c r="T129" s="4" t="str">
        <x:v>E606327F39434656688CC96037A855D08481385043D282BD9963D2A708E6B593</x:v>
      </x:c>
      <x:c r="U129" s="4" t="str">
        <x:v>derived_visible_text</x:v>
      </x:c>
      <x:c r="V129" s="14" t="str">
        <x:v>https://it.wikipedia.org/w/index.php?curid=31716&amp;oldid=145498082</x:v>
      </x:c>
      <x:c r="W129" s="14" t="str">
        <x:v>public_http_locator_preserved</x:v>
      </x:c>
      <x:c r="X129" s="4" t="str">
        <x:v>145498082</x:v>
      </x:c>
      <x:c r="Y129" s="14" t="str">
        <x:v>native_revision_pinned_context_shelf</x:v>
      </x:c>
      <x:c r="Z129" s="14" t="str">
        <x:v>https://creativecommons.org/licenses/by-sa/4.0/deed.it</x:v>
      </x:c>
      <x:c r="AA129" s="14" t="str">
        <x:v>declared_cc_by_sa_4_0</x:v>
      </x:c>
      <x:c r="AB129" s="4" t="str">
        <x:v>local_computed</x:v>
      </x:c>
      <x:c r="AC129" s="14" t="str">
        <x:v>page_topic_reviewed_term_occurrences_require_context_review</x:v>
      </x:c>
      <x:c r="AD129" s="4" t="str">
        <x:v>true</x:v>
      </x:c>
      <x:c r="AE129" s="4" t="str">
        <x:v>true</x:v>
      </x:c>
      <x:c r="AF129" s="4" t="str">
        <x:v>false</x:v>
      </x:c>
      <x:c r="AG129" s="14" t="str">
        <x:v>primary_unique</x:v>
      </x:c>
      <x:c r="AH129" s="25" t="str">
        <x:v>true</x:v>
      </x:c>
      <x:c r="AI129" s="4" t="str">
        <x:v>false</x:v>
      </x:c>
      <x:c r="AJ129" s="4" t="str">
        <x:v>active_source_body</x:v>
      </x:c>
      <x:c r="AK129" s="4" t="str">
        <x:v>true</x:v>
      </x:c>
      <x:c r="AL129" s="4" t="str">
        <x:v>false</x:v>
      </x:c>
      <x:c r="AM129" s="14" t="str"/>
      <x:c r="AN129" s="14" t="str">
        <x:v>not_declared</x:v>
      </x:c>
      <x:c r="AO129" s="4" t="str">
        <x:v>true</x:v>
      </x:c>
      <x:c r="AP129" s="14" t="str"/>
      <x:c r="AQ129" s="4" t="str"/>
    </x:row>
    <x:row r="130" ht="44" customHeight="1">
      <x:c r="A130" s="14" t="str">
        <x:v>WIKIHTML-IT-33544-138537220</x:v>
      </x:c>
      <x:c r="B130" s="14" t="str">
        <x:v>WIKI-it-33544-138537220</x:v>
      </x:c>
      <x:c r="C130" s="4" t="str">
        <x:v>it</x:v>
      </x:c>
      <x:c r="D130" s="4" t="str">
        <x:v>it</x:v>
      </x:c>
      <x:c r="E130" s="14" t="str">
        <x:v>standard Italian</x:v>
      </x:c>
      <x:c r="F130" s="4" t="str">
        <x:v>Italy and Switzerland</x:v>
      </x:c>
      <x:c r="G130" s="4" t="str">
        <x:v>Latn</x:v>
      </x:c>
      <x:c r="H130" s="4" t="str"/>
      <x:c r="I130" s="4" t="str"/>
      <x:c r="J130" s="4" t="str"/>
      <x:c r="K130" s="17" t="str"/>
      <x:c r="L130" s="4" t="str">
        <x:v>ring_theory</x:v>
      </x:c>
      <x:c r="M130" s="4" t="str">
        <x:v>ring_theory;abstract_algebra</x:v>
      </x:c>
      <x:c r="N130" s="14" t="str">
        <x:v>manual_topic_review_20260717</x:v>
      </x:c>
      <x:c r="O130" s="4" t="str">
        <x:v>unresolved_register</x:v>
      </x:c>
      <x:c r="P130" s="14" t="str">
        <x:v>Anello (algebra)</x:v>
      </x:c>
      <x:c r="Q130" s="4" t="str">
        <x:v>html</x:v>
      </x:c>
      <x:c r="R130" s="25" t="str">
        <x:v>419734</x:v>
      </x:c>
      <x:c r="S130" s="4" t="str">
        <x:v>24A7B8E618BC73E1D22A334E7926DFCCD9EAA555005F276153ACF0855CFC9F64</x:v>
      </x:c>
      <x:c r="T130" s="4" t="str">
        <x:v>C25667795493FE15A190AA3327F8D336A98C4BB5D25750334D63B77EFD607E50</x:v>
      </x:c>
      <x:c r="U130" s="4" t="str">
        <x:v>derived_visible_text</x:v>
      </x:c>
      <x:c r="V130" s="14" t="str">
        <x:v>https://it.wikipedia.org/w/index.php?curid=33544&amp;oldid=138537220</x:v>
      </x:c>
      <x:c r="W130" s="14" t="str">
        <x:v>public_http_locator_preserved</x:v>
      </x:c>
      <x:c r="X130" s="4" t="str">
        <x:v>138537220</x:v>
      </x:c>
      <x:c r="Y130" s="14" t="str">
        <x:v>native_revision_pinned_context_shelf</x:v>
      </x:c>
      <x:c r="Z130" s="14" t="str">
        <x:v>https://creativecommons.org/licenses/by-sa/4.0/deed.it</x:v>
      </x:c>
      <x:c r="AA130" s="14" t="str">
        <x:v>declared_cc_by_sa_4_0</x:v>
      </x:c>
      <x:c r="AB130" s="4" t="str">
        <x:v>local_computed</x:v>
      </x:c>
      <x:c r="AC130" s="14" t="str">
        <x:v>page_topic_reviewed_term_occurrences_require_context_review</x:v>
      </x:c>
      <x:c r="AD130" s="4" t="str">
        <x:v>true</x:v>
      </x:c>
      <x:c r="AE130" s="4" t="str">
        <x:v>true</x:v>
      </x:c>
      <x:c r="AF130" s="4" t="str">
        <x:v>false</x:v>
      </x:c>
      <x:c r="AG130" s="14" t="str">
        <x:v>primary_unique</x:v>
      </x:c>
      <x:c r="AH130" s="25" t="str">
        <x:v>true</x:v>
      </x:c>
      <x:c r="AI130" s="4" t="str">
        <x:v>false</x:v>
      </x:c>
      <x:c r="AJ130" s="4" t="str">
        <x:v>active_source_body</x:v>
      </x:c>
      <x:c r="AK130" s="4" t="str">
        <x:v>true</x:v>
      </x:c>
      <x:c r="AL130" s="4" t="str">
        <x:v>false</x:v>
      </x:c>
      <x:c r="AM130" s="14" t="str"/>
      <x:c r="AN130" s="14" t="str">
        <x:v>not_declared</x:v>
      </x:c>
      <x:c r="AO130" s="4" t="str">
        <x:v>true</x:v>
      </x:c>
      <x:c r="AP130" s="14" t="str"/>
      <x:c r="AQ130" s="4" t="str"/>
    </x:row>
    <x:row r="131" ht="44" customHeight="1">
      <x:c r="A131" s="14" t="str">
        <x:v>WIKIHTML-IT-40840-141860794</x:v>
      </x:c>
      <x:c r="B131" s="14" t="str">
        <x:v>WIKI-it-40840-141860794</x:v>
      </x:c>
      <x:c r="C131" s="4" t="str">
        <x:v>it</x:v>
      </x:c>
      <x:c r="D131" s="4" t="str">
        <x:v>it</x:v>
      </x:c>
      <x:c r="E131" s="14" t="str">
        <x:v>standard Italian</x:v>
      </x:c>
      <x:c r="F131" s="4" t="str">
        <x:v>Italy and Switzerland</x:v>
      </x:c>
      <x:c r="G131" s="4" t="str">
        <x:v>Latn</x:v>
      </x:c>
      <x:c r="H131" s="4" t="str"/>
      <x:c r="I131" s="4" t="str"/>
      <x:c r="J131" s="4" t="str"/>
      <x:c r="K131" s="17" t="str"/>
      <x:c r="L131" s="4" t="str">
        <x:v>abstract_algebra</x:v>
      </x:c>
      <x:c r="M131" s="4" t="str">
        <x:v>abstract_algebra</x:v>
      </x:c>
      <x:c r="N131" s="14" t="str">
        <x:v>manual_topic_review_20260717</x:v>
      </x:c>
      <x:c r="O131" s="4" t="str">
        <x:v>unresolved_register</x:v>
      </x:c>
      <x:c r="P131" s="14" t="str">
        <x:v>Algebra astratta</x:v>
      </x:c>
      <x:c r="Q131" s="4" t="str">
        <x:v>html</x:v>
      </x:c>
      <x:c r="R131" s="25" t="str">
        <x:v>118634</x:v>
      </x:c>
      <x:c r="S131" s="4" t="str">
        <x:v>4803D6B903E0BCBE0BE905FF7976E8B10029580E5E9F7A9EB61004BCF6DEB9CF</x:v>
      </x:c>
      <x:c r="T131" s="4" t="str">
        <x:v>BA18E46688F4D10BD1585FB0FD79CB2197279C71C9458ED5D0ACAA02F0ACCA9B</x:v>
      </x:c>
      <x:c r="U131" s="4" t="str">
        <x:v>derived_visible_text</x:v>
      </x:c>
      <x:c r="V131" s="14" t="str">
        <x:v>https://it.wikipedia.org/w/index.php?curid=40840&amp;oldid=141860794</x:v>
      </x:c>
      <x:c r="W131" s="14" t="str">
        <x:v>public_http_locator_preserved</x:v>
      </x:c>
      <x:c r="X131" s="4" t="str">
        <x:v>141860794</x:v>
      </x:c>
      <x:c r="Y131" s="14" t="str">
        <x:v>native_revision_pinned_context_shelf</x:v>
      </x:c>
      <x:c r="Z131" s="14" t="str">
        <x:v>https://creativecommons.org/licenses/by-sa/4.0/deed.it</x:v>
      </x:c>
      <x:c r="AA131" s="14" t="str">
        <x:v>declared_cc_by_sa_4_0</x:v>
      </x:c>
      <x:c r="AB131" s="4" t="str">
        <x:v>local_computed</x:v>
      </x:c>
      <x:c r="AC131" s="14" t="str">
        <x:v>page_topic_reviewed_term_occurrences_require_context_review</x:v>
      </x:c>
      <x:c r="AD131" s="4" t="str">
        <x:v>true</x:v>
      </x:c>
      <x:c r="AE131" s="4" t="str">
        <x:v>true</x:v>
      </x:c>
      <x:c r="AF131" s="4" t="str">
        <x:v>false</x:v>
      </x:c>
      <x:c r="AG131" s="14" t="str">
        <x:v>primary_unique</x:v>
      </x:c>
      <x:c r="AH131" s="25" t="str">
        <x:v>true</x:v>
      </x:c>
      <x:c r="AI131" s="4" t="str">
        <x:v>false</x:v>
      </x:c>
      <x:c r="AJ131" s="4" t="str">
        <x:v>active_source_body</x:v>
      </x:c>
      <x:c r="AK131" s="4" t="str">
        <x:v>true</x:v>
      </x:c>
      <x:c r="AL131" s="4" t="str">
        <x:v>false</x:v>
      </x:c>
      <x:c r="AM131" s="14" t="str"/>
      <x:c r="AN131" s="14" t="str">
        <x:v>not_declared</x:v>
      </x:c>
      <x:c r="AO131" s="4" t="str">
        <x:v>true</x:v>
      </x:c>
      <x:c r="AP131" s="14" t="str"/>
      <x:c r="AQ131" s="4" t="str"/>
    </x:row>
    <x:row r="132" ht="44" customHeight="1">
      <x:c r="A132" s="14" t="str">
        <x:v>WIKIHTML-IT-63266-146300127</x:v>
      </x:c>
      <x:c r="B132" s="14" t="str">
        <x:v>WIKI-it-63266-146300127</x:v>
      </x:c>
      <x:c r="C132" s="4" t="str">
        <x:v>it</x:v>
      </x:c>
      <x:c r="D132" s="4" t="str">
        <x:v>it</x:v>
      </x:c>
      <x:c r="E132" s="14" t="str">
        <x:v>standard Italian</x:v>
      </x:c>
      <x:c r="F132" s="4" t="str">
        <x:v>Italy and Switzerland</x:v>
      </x:c>
      <x:c r="G132" s="4" t="str">
        <x:v>Latn</x:v>
      </x:c>
      <x:c r="H132" s="4" t="str"/>
      <x:c r="I132" s="4" t="str"/>
      <x:c r="J132" s="4" t="str"/>
      <x:c r="K132" s="17" t="str"/>
      <x:c r="L132" s="4" t="str">
        <x:v>module_theory</x:v>
      </x:c>
      <x:c r="M132" s="4" t="str">
        <x:v>module_theory;ring_theory</x:v>
      </x:c>
      <x:c r="N132" s="14" t="str">
        <x:v>manual_topic_review_20260717</x:v>
      </x:c>
      <x:c r="O132" s="4" t="str">
        <x:v>unresolved_register</x:v>
      </x:c>
      <x:c r="P132" s="14" t="str">
        <x:v>Modulo (algebra)</x:v>
      </x:c>
      <x:c r="Q132" s="4" t="str">
        <x:v>html</x:v>
      </x:c>
      <x:c r="R132" s="25" t="str">
        <x:v>270005</x:v>
      </x:c>
      <x:c r="S132" s="4" t="str">
        <x:v>E591880DF409832715E0F38F54C64C707FA32391DCB309B9FFDBBE6CD715A898</x:v>
      </x:c>
      <x:c r="T132" s="4" t="str">
        <x:v>5D56D23DE4ED8D5702CC8F53F4F3F9F6D0171989231A94C6CDE0CC8F80FD63DA</x:v>
      </x:c>
      <x:c r="U132" s="4" t="str">
        <x:v>derived_visible_text</x:v>
      </x:c>
      <x:c r="V132" s="14" t="str">
        <x:v>https://it.wikipedia.org/w/index.php?curid=63266&amp;oldid=146300127</x:v>
      </x:c>
      <x:c r="W132" s="14" t="str">
        <x:v>public_http_locator_preserved</x:v>
      </x:c>
      <x:c r="X132" s="4" t="str">
        <x:v>146300127</x:v>
      </x:c>
      <x:c r="Y132" s="14" t="str">
        <x:v>native_revision_pinned_context_shelf</x:v>
      </x:c>
      <x:c r="Z132" s="14" t="str">
        <x:v>https://creativecommons.org/licenses/by-sa/4.0/deed.it</x:v>
      </x:c>
      <x:c r="AA132" s="14" t="str">
        <x:v>declared_cc_by_sa_4_0</x:v>
      </x:c>
      <x:c r="AB132" s="4" t="str">
        <x:v>local_computed</x:v>
      </x:c>
      <x:c r="AC132" s="14" t="str">
        <x:v>page_topic_reviewed_term_occurrences_require_context_review</x:v>
      </x:c>
      <x:c r="AD132" s="4" t="str">
        <x:v>true</x:v>
      </x:c>
      <x:c r="AE132" s="4" t="str">
        <x:v>true</x:v>
      </x:c>
      <x:c r="AF132" s="4" t="str">
        <x:v>false</x:v>
      </x:c>
      <x:c r="AG132" s="14" t="str">
        <x:v>primary_unique</x:v>
      </x:c>
      <x:c r="AH132" s="25" t="str">
        <x:v>true</x:v>
      </x:c>
      <x:c r="AI132" s="4" t="str">
        <x:v>false</x:v>
      </x:c>
      <x:c r="AJ132" s="4" t="str">
        <x:v>active_source_body</x:v>
      </x:c>
      <x:c r="AK132" s="4" t="str">
        <x:v>true</x:v>
      </x:c>
      <x:c r="AL132" s="4" t="str">
        <x:v>false</x:v>
      </x:c>
      <x:c r="AM132" s="14" t="str"/>
      <x:c r="AN132" s="14" t="str">
        <x:v>not_declared</x:v>
      </x:c>
      <x:c r="AO132" s="4" t="str">
        <x:v>true</x:v>
      </x:c>
      <x:c r="AP132" s="14" t="str"/>
      <x:c r="AQ132" s="4" t="str"/>
    </x:row>
    <x:row r="133" ht="44" customHeight="1">
      <x:c r="A133" s="14" t="str">
        <x:v>WIKIHTML-IT-85128-146811610</x:v>
      </x:c>
      <x:c r="B133" s="14" t="str">
        <x:v>WIKI-it-85128-146811610</x:v>
      </x:c>
      <x:c r="C133" s="4" t="str">
        <x:v>it</x:v>
      </x:c>
      <x:c r="D133" s="4" t="str">
        <x:v>it</x:v>
      </x:c>
      <x:c r="E133" s="14" t="str">
        <x:v>standard Italian</x:v>
      </x:c>
      <x:c r="F133" s="4" t="str">
        <x:v>Italy and Switzerland</x:v>
      </x:c>
      <x:c r="G133" s="4" t="str">
        <x:v>Latn</x:v>
      </x:c>
      <x:c r="H133" s="4" t="str"/>
      <x:c r="I133" s="4" t="str"/>
      <x:c r="J133" s="4" t="str"/>
      <x:c r="K133" s="17" t="str"/>
      <x:c r="L133" s="4" t="str">
        <x:v>group_theory</x:v>
      </x:c>
      <x:c r="M133" s="4" t="str">
        <x:v>group_theory;abstract_algebra</x:v>
      </x:c>
      <x:c r="N133" s="14" t="str">
        <x:v>manual_topic_review_20260717</x:v>
      </x:c>
      <x:c r="O133" s="4" t="str">
        <x:v>unresolved_register</x:v>
      </x:c>
      <x:c r="P133" s="14" t="str">
        <x:v>Teoria dei gruppi</x:v>
      </x:c>
      <x:c r="Q133" s="4" t="str">
        <x:v>html</x:v>
      </x:c>
      <x:c r="R133" s="25" t="str">
        <x:v>177679</x:v>
      </x:c>
      <x:c r="S133" s="4" t="str">
        <x:v>8F11EAF0DEA8C71A97F4135C4A7B923E865D3C61E768C8AFAE92BD990F94CE05</x:v>
      </x:c>
      <x:c r="T133" s="4" t="str">
        <x:v>01523299E24F2B25A085FA72607A2006AD9F9720DC78DCAB36E83E14772BB31C</x:v>
      </x:c>
      <x:c r="U133" s="4" t="str">
        <x:v>derived_visible_text</x:v>
      </x:c>
      <x:c r="V133" s="14" t="str">
        <x:v>https://it.wikipedia.org/w/index.php?curid=85128&amp;oldid=146811610</x:v>
      </x:c>
      <x:c r="W133" s="14" t="str">
        <x:v>public_http_locator_preserved</x:v>
      </x:c>
      <x:c r="X133" s="4" t="str">
        <x:v>146811610</x:v>
      </x:c>
      <x:c r="Y133" s="14" t="str">
        <x:v>native_revision_pinned_context_shelf</x:v>
      </x:c>
      <x:c r="Z133" s="14" t="str">
        <x:v>https://creativecommons.org/licenses/by-sa/4.0/deed.it</x:v>
      </x:c>
      <x:c r="AA133" s="14" t="str">
        <x:v>declared_cc_by_sa_4_0</x:v>
      </x:c>
      <x:c r="AB133" s="4" t="str">
        <x:v>local_computed</x:v>
      </x:c>
      <x:c r="AC133" s="14" t="str">
        <x:v>page_topic_reviewed_term_occurrences_require_context_review</x:v>
      </x:c>
      <x:c r="AD133" s="4" t="str">
        <x:v>true</x:v>
      </x:c>
      <x:c r="AE133" s="4" t="str">
        <x:v>true</x:v>
      </x:c>
      <x:c r="AF133" s="4" t="str">
        <x:v>false</x:v>
      </x:c>
      <x:c r="AG133" s="14" t="str">
        <x:v>primary_unique</x:v>
      </x:c>
      <x:c r="AH133" s="25" t="str">
        <x:v>true</x:v>
      </x:c>
      <x:c r="AI133" s="4" t="str">
        <x:v>false</x:v>
      </x:c>
      <x:c r="AJ133" s="4" t="str">
        <x:v>active_source_body</x:v>
      </x:c>
      <x:c r="AK133" s="4" t="str">
        <x:v>true</x:v>
      </x:c>
      <x:c r="AL133" s="4" t="str">
        <x:v>false</x:v>
      </x:c>
      <x:c r="AM133" s="14" t="str"/>
      <x:c r="AN133" s="14" t="str">
        <x:v>not_declared</x:v>
      </x:c>
      <x:c r="AO133" s="4" t="str">
        <x:v>true</x:v>
      </x:c>
      <x:c r="AP133" s="14" t="str"/>
      <x:c r="AQ133" s="4" t="str"/>
    </x:row>
    <x:row r="134" ht="44" customHeight="1">
      <x:c r="A134" s="14" t="str">
        <x:v>WIKIHTML-IT-95417-144538899</x:v>
      </x:c>
      <x:c r="B134" s="14" t="str">
        <x:v>WIKI-it-95417-144538899</x:v>
      </x:c>
      <x:c r="C134" s="4" t="str">
        <x:v>it</x:v>
      </x:c>
      <x:c r="D134" s="4" t="str">
        <x:v>it</x:v>
      </x:c>
      <x:c r="E134" s="14" t="str">
        <x:v>standard Italian</x:v>
      </x:c>
      <x:c r="F134" s="4" t="str">
        <x:v>Italy and Switzerland</x:v>
      </x:c>
      <x:c r="G134" s="4" t="str">
        <x:v>Latn</x:v>
      </x:c>
      <x:c r="H134" s="4" t="str"/>
      <x:c r="I134" s="4" t="str"/>
      <x:c r="J134" s="4" t="str"/>
      <x:c r="K134" s="17" t="str"/>
      <x:c r="L134" s="4" t="str">
        <x:v>proof_register</x:v>
      </x:c>
      <x:c r="M134" s="4" t="str">
        <x:v>proof_register;mathematics_general</x:v>
      </x:c>
      <x:c r="N134" s="14" t="str">
        <x:v>manual_topic_review_20260717</x:v>
      </x:c>
      <x:c r="O134" s="4" t="str">
        <x:v>unresolved_register</x:v>
      </x:c>
      <x:c r="P134" s="14" t="str">
        <x:v>Dimostrazione matematica</x:v>
      </x:c>
      <x:c r="Q134" s="4" t="str">
        <x:v>html</x:v>
      </x:c>
      <x:c r="R134" s="25" t="str">
        <x:v>117892</x:v>
      </x:c>
      <x:c r="S134" s="4" t="str">
        <x:v>6B78D919945112ADAC8EF50015078725AAD0E876FB4AD7243342DC7F8401AAAE</x:v>
      </x:c>
      <x:c r="T134" s="4" t="str">
        <x:v>37C55C17ADF4D1260895A3640365F7040386BE3B850E5A2B7981875DF38EDE9E</x:v>
      </x:c>
      <x:c r="U134" s="4" t="str">
        <x:v>derived_visible_text</x:v>
      </x:c>
      <x:c r="V134" s="14" t="str">
        <x:v>https://it.wikipedia.org/w/index.php?curid=95417&amp;oldid=144538899</x:v>
      </x:c>
      <x:c r="W134" s="14" t="str">
        <x:v>public_http_locator_preserved</x:v>
      </x:c>
      <x:c r="X134" s="4" t="str">
        <x:v>144538899</x:v>
      </x:c>
      <x:c r="Y134" s="14" t="str">
        <x:v>native_revision_pinned_context_shelf</x:v>
      </x:c>
      <x:c r="Z134" s="14" t="str">
        <x:v>https://creativecommons.org/licenses/by-sa/4.0/deed.it</x:v>
      </x:c>
      <x:c r="AA134" s="14" t="str">
        <x:v>declared_cc_by_sa_4_0</x:v>
      </x:c>
      <x:c r="AB134" s="4" t="str">
        <x:v>local_computed</x:v>
      </x:c>
      <x:c r="AC134" s="14" t="str">
        <x:v>page_topic_reviewed_term_occurrences_require_context_review</x:v>
      </x:c>
      <x:c r="AD134" s="4" t="str">
        <x:v>true</x:v>
      </x:c>
      <x:c r="AE134" s="4" t="str">
        <x:v>true</x:v>
      </x:c>
      <x:c r="AF134" s="4" t="str">
        <x:v>false</x:v>
      </x:c>
      <x:c r="AG134" s="14" t="str">
        <x:v>primary_unique</x:v>
      </x:c>
      <x:c r="AH134" s="25" t="str">
        <x:v>true</x:v>
      </x:c>
      <x:c r="AI134" s="4" t="str">
        <x:v>false</x:v>
      </x:c>
      <x:c r="AJ134" s="4" t="str">
        <x:v>active_source_body</x:v>
      </x:c>
      <x:c r="AK134" s="4" t="str">
        <x:v>true</x:v>
      </x:c>
      <x:c r="AL134" s="4" t="str">
        <x:v>false</x:v>
      </x:c>
      <x:c r="AM134" s="14" t="str"/>
      <x:c r="AN134" s="14" t="str">
        <x:v>not_declared</x:v>
      </x:c>
      <x:c r="AO134" s="4" t="str">
        <x:v>false</x:v>
      </x:c>
      <x:c r="AP134" s="14" t="str"/>
      <x:c r="AQ134" s="4" t="str"/>
    </x:row>
    <x:row r="135" ht="44" customHeight="1">
      <x:c r="A135" s="14" t="str">
        <x:v>WIKITEXT-PT-1785473-67945716</x:v>
      </x:c>
      <x:c r="B135" s="14" t="str">
        <x:v>WIKI-pt-1785473-67945716</x:v>
      </x:c>
      <x:c r="C135" s="4" t="str">
        <x:v>pt</x:v>
      </x:c>
      <x:c r="D135" s="4" t="str">
        <x:v>pt</x:v>
      </x:c>
      <x:c r="E135" s="14" t="str">
        <x:v>standard Portuguese</x:v>
      </x:c>
      <x:c r="F135" s="4" t="str">
        <x:v>Portugal Africa and Brazil</x:v>
      </x:c>
      <x:c r="G135" s="4" t="str">
        <x:v>Latn</x:v>
      </x:c>
      <x:c r="H135" s="4" t="str"/>
      <x:c r="I135" s="4" t="str"/>
      <x:c r="J135" s="4" t="str"/>
      <x:c r="K135" s="17" t="str"/>
      <x:c r="L135" s="4" t="str">
        <x:v>mathematics_mixed</x:v>
      </x:c>
      <x:c r="M135" s="4" t="str">
        <x:v>mathematics_mixed</x:v>
      </x:c>
      <x:c r="N135" s="14" t="str">
        <x:v>unreviewed_partial_api_title_inference</x:v>
      </x:c>
      <x:c r="O135" s="4" t="str">
        <x:v>unresolved_register</x:v>
      </x:c>
      <x:c r="P135" s="14" t="str">
        <x:v>Ideal primo</x:v>
      </x:c>
      <x:c r="Q135" s="4" t="str">
        <x:v>wikitext</x:v>
      </x:c>
      <x:c r="R135" s="25" t="str">
        <x:v>14537</x:v>
      </x:c>
      <x:c r="S135" s="4" t="str">
        <x:v>EC609DE0EE429FB78DA4C609B8C1C9A296AC1C53D627DDC0D306BAD3F8A44529</x:v>
      </x:c>
      <x:c r="T135" s="4" t="str">
        <x:v>EC609DE0EE429FB78DA4C609B8C1C9A296AC1C53D627DDC0D306BAD3F8A44529</x:v>
      </x:c>
      <x:c r="U135" s="4" t="str">
        <x:v>source_file_is_canonical_search_text</x:v>
      </x:c>
      <x:c r="V135" s="14" t="str">
        <x:v>https://pt.wikipedia.org/w/index.php?curid=1785473&amp;oldid=67945716</x:v>
      </x:c>
      <x:c r="W135" s="14" t="str">
        <x:v>public_http_locator_preserved</x:v>
      </x:c>
      <x:c r="X135" s="4" t="str">
        <x:v>67945716</x:v>
      </x:c>
      <x:c r="Y135" s="14" t="str">
        <x:v>partial_api_acquisition_preserved</x:v>
      </x:c>
      <x:c r="Z135" s="14" t="str">
        <x:v>Wikimedia project text; verify page footer/rightsinfo</x:v>
      </x:c>
      <x:c r="AA135" s="14" t="str">
        <x:v>declared_cc_by_sa_4_0_project_terms_pending_page_match</x:v>
      </x:c>
      <x:c r="AB135" s="4" t="str">
        <x:v>local_computed</x:v>
      </x:c>
      <x:c r="AC135" s="14" t="str">
        <x:v>automatic_search_result_requires_manual_review</x:v>
      </x:c>
      <x:c r="AD135" s="4" t="str">
        <x:v>false</x:v>
      </x:c>
      <x:c r="AE135" s="4" t="str">
        <x:v>true</x:v>
      </x:c>
      <x:c r="AF135" s="4" t="str">
        <x:v>false</x:v>
      </x:c>
      <x:c r="AG135" s="14" t="str">
        <x:v>primary_unique</x:v>
      </x:c>
      <x:c r="AH135" s="25" t="str">
        <x:v>false</x:v>
      </x:c>
      <x:c r="AI135" s="4" t="str">
        <x:v>false</x:v>
      </x:c>
      <x:c r="AJ135" s="4" t="str">
        <x:v>preserved_noncounting_source_or_alias</x:v>
      </x:c>
      <x:c r="AK135" s="4" t="str">
        <x:v>false</x:v>
      </x:c>
      <x:c r="AL135" s="4" t="str">
        <x:v>false</x:v>
      </x:c>
      <x:c r="AM135" s="14" t="str"/>
      <x:c r="AN135" s="14" t="str">
        <x:v>not_declared</x:v>
      </x:c>
      <x:c r="AO135" s="4" t="str">
        <x:v>false</x:v>
      </x:c>
      <x:c r="AP135" s="14" t="str"/>
      <x:c r="AQ135" s="4" t="str"/>
    </x:row>
    <x:row r="136" ht="44" customHeight="1">
      <x:c r="A136" s="14" t="str">
        <x:v>WIKIHTML-PT-193830-71904594</x:v>
      </x:c>
      <x:c r="B136" s="14" t="str">
        <x:v>WIKI-pt-193830-71904594</x:v>
      </x:c>
      <x:c r="C136" s="4" t="str">
        <x:v>pt</x:v>
      </x:c>
      <x:c r="D136" s="4" t="str">
        <x:v>pt</x:v>
      </x:c>
      <x:c r="E136" s="14" t="str">
        <x:v>standard Portuguese</x:v>
      </x:c>
      <x:c r="F136" s="4" t="str">
        <x:v>Portugal Africa and Brazil</x:v>
      </x:c>
      <x:c r="G136" s="4" t="str">
        <x:v>Latn</x:v>
      </x:c>
      <x:c r="H136" s="4" t="str"/>
      <x:c r="I136" s="4" t="str"/>
      <x:c r="J136" s="4" t="str"/>
      <x:c r="K136" s="17" t="str"/>
      <x:c r="L136" s="4" t="str">
        <x:v>group_theory</x:v>
      </x:c>
      <x:c r="M136" s="4" t="str">
        <x:v>group_theory;abstract_algebra</x:v>
      </x:c>
      <x:c r="N136" s="14" t="str">
        <x:v>manual_topic_review_20260717</x:v>
      </x:c>
      <x:c r="O136" s="4" t="str">
        <x:v>unresolved_register</x:v>
      </x:c>
      <x:c r="P136" s="14" t="str">
        <x:v>Teoria dos grupos</x:v>
      </x:c>
      <x:c r="Q136" s="4" t="str">
        <x:v>html</x:v>
      </x:c>
      <x:c r="R136" s="25" t="str">
        <x:v>349242</x:v>
      </x:c>
      <x:c r="S136" s="4" t="str">
        <x:v>681C1360B30519250BF7E45563DEB80F345FD7145DCAF36ECAEF89C00712C5D0</x:v>
      </x:c>
      <x:c r="T136" s="4" t="str">
        <x:v>EBB09A000649C5676FAD8455AD2658973149985D7BCAD5F5EA7934F107CF1A2A</x:v>
      </x:c>
      <x:c r="U136" s="4" t="str">
        <x:v>derived_visible_text</x:v>
      </x:c>
      <x:c r="V136" s="14" t="str">
        <x:v>https://pt.wikipedia.org/w/index.php?curid=193830&amp;oldid=71904594</x:v>
      </x:c>
      <x:c r="W136" s="14" t="str">
        <x:v>public_http_locator_preserved</x:v>
      </x:c>
      <x:c r="X136" s="4" t="str">
        <x:v>71904594</x:v>
      </x:c>
      <x:c r="Y136" s="14" t="str">
        <x:v>native_revision_pinned_context_shelf</x:v>
      </x:c>
      <x:c r="Z136" s="14" t="str">
        <x:v>https://creativecommons.org/licenses/by-sa/4.0/deed.pt</x:v>
      </x:c>
      <x:c r="AA136" s="14" t="str">
        <x:v>declared_cc_by_sa_4_0</x:v>
      </x:c>
      <x:c r="AB136" s="4" t="str">
        <x:v>local_computed</x:v>
      </x:c>
      <x:c r="AC136" s="14" t="str">
        <x:v>page_topic_reviewed_term_occurrences_require_context_review</x:v>
      </x:c>
      <x:c r="AD136" s="4" t="str">
        <x:v>true</x:v>
      </x:c>
      <x:c r="AE136" s="4" t="str">
        <x:v>true</x:v>
      </x:c>
      <x:c r="AF136" s="4" t="str">
        <x:v>false</x:v>
      </x:c>
      <x:c r="AG136" s="14" t="str">
        <x:v>primary_unique</x:v>
      </x:c>
      <x:c r="AH136" s="25" t="str">
        <x:v>true</x:v>
      </x:c>
      <x:c r="AI136" s="4" t="str">
        <x:v>false</x:v>
      </x:c>
      <x:c r="AJ136" s="4" t="str">
        <x:v>active_source_body</x:v>
      </x:c>
      <x:c r="AK136" s="4" t="str">
        <x:v>true</x:v>
      </x:c>
      <x:c r="AL136" s="4" t="str">
        <x:v>false</x:v>
      </x:c>
      <x:c r="AM136" s="14" t="str"/>
      <x:c r="AN136" s="14" t="str">
        <x:v>not_declared</x:v>
      </x:c>
      <x:c r="AO136" s="4" t="str">
        <x:v>true</x:v>
      </x:c>
      <x:c r="AP136" s="14" t="str"/>
      <x:c r="AQ136" s="4" t="str"/>
    </x:row>
    <x:row r="137" ht="44" customHeight="1">
      <x:c r="A137" s="14" t="str">
        <x:v>WIKITEXT-PT-44171-72178684</x:v>
      </x:c>
      <x:c r="B137" s="14" t="str">
        <x:v>WIKI-pt-44171-72178684</x:v>
      </x:c>
      <x:c r="C137" s="4" t="str">
        <x:v>pt</x:v>
      </x:c>
      <x:c r="D137" s="4" t="str">
        <x:v>pt</x:v>
      </x:c>
      <x:c r="E137" s="14" t="str">
        <x:v>standard Portuguese</x:v>
      </x:c>
      <x:c r="F137" s="4" t="str">
        <x:v>Portugal Africa and Brazil</x:v>
      </x:c>
      <x:c r="G137" s="4" t="str">
        <x:v>Latn</x:v>
      </x:c>
      <x:c r="H137" s="4" t="str"/>
      <x:c r="I137" s="4" t="str"/>
      <x:c r="J137" s="4" t="str"/>
      <x:c r="K137" s="17" t="str"/>
      <x:c r="L137" s="4" t="str">
        <x:v>abstract_algebra</x:v>
      </x:c>
      <x:c r="M137" s="4" t="str">
        <x:v>abstract_algebra</x:v>
      </x:c>
      <x:c r="N137" s="14" t="str">
        <x:v>manual_topic_review_20260717</x:v>
      </x:c>
      <x:c r="O137" s="4" t="str">
        <x:v>unresolved_register</x:v>
      </x:c>
      <x:c r="P137" s="14" t="str">
        <x:v>Álgebra</x:v>
      </x:c>
      <x:c r="Q137" s="4" t="str">
        <x:v>wikitext</x:v>
      </x:c>
      <x:c r="R137" s="25" t="str">
        <x:v>80167</x:v>
      </x:c>
      <x:c r="S137" s="4" t="str">
        <x:v>9AD8C18F9B4283D019CA5DDAADD605D95ABA17C2AE25D96D2FD57721C7AE1956</x:v>
      </x:c>
      <x:c r="T137" s="4" t="str">
        <x:v>9AD8C18F9B4283D019CA5DDAADD605D95ABA17C2AE25D96D2FD57721C7AE1956</x:v>
      </x:c>
      <x:c r="U137" s="4" t="str">
        <x:v>source_file_is_canonical_search_text</x:v>
      </x:c>
      <x:c r="V137" s="14" t="str">
        <x:v>https://pt.wikipedia.org/w/index.php?curid=44171&amp;oldid=72178684</x:v>
      </x:c>
      <x:c r="W137" s="14" t="str">
        <x:v>public_http_locator_preserved</x:v>
      </x:c>
      <x:c r="X137" s="4" t="str">
        <x:v>72178684</x:v>
      </x:c>
      <x:c r="Y137" s="14" t="str">
        <x:v>partial_api_acquisition_preserved</x:v>
      </x:c>
      <x:c r="Z137" s="14" t="str">
        <x:v>Wikimedia project text; verify page footer/rightsinfo</x:v>
      </x:c>
      <x:c r="AA137" s="14" t="str">
        <x:v>declared_cc_by_sa_4_0_project_terms_pending_page_match</x:v>
      </x:c>
      <x:c r="AB137" s="4" t="str">
        <x:v>local_computed</x:v>
      </x:c>
      <x:c r="AC137" s="14" t="str">
        <x:v>page_topic_reviewed_term_occurrences_require_context_review</x:v>
      </x:c>
      <x:c r="AD137" s="4" t="str">
        <x:v>true</x:v>
      </x:c>
      <x:c r="AE137" s="4" t="str">
        <x:v>true</x:v>
      </x:c>
      <x:c r="AF137" s="4" t="str">
        <x:v>false</x:v>
      </x:c>
      <x:c r="AG137" s="14" t="str">
        <x:v>primary_unique</x:v>
      </x:c>
      <x:c r="AH137" s="25" t="str">
        <x:v>true</x:v>
      </x:c>
      <x:c r="AI137" s="4" t="str">
        <x:v>false</x:v>
      </x:c>
      <x:c r="AJ137" s="4" t="str">
        <x:v>active_source_body</x:v>
      </x:c>
      <x:c r="AK137" s="4" t="str">
        <x:v>true</x:v>
      </x:c>
      <x:c r="AL137" s="4" t="str">
        <x:v>false</x:v>
      </x:c>
      <x:c r="AM137" s="14" t="str"/>
      <x:c r="AN137" s="14" t="str">
        <x:v>not_declared</x:v>
      </x:c>
      <x:c r="AO137" s="4" t="str">
        <x:v>true</x:v>
      </x:c>
      <x:c r="AP137" s="14" t="str"/>
      <x:c r="AQ137" s="4" t="str"/>
    </x:row>
    <x:row r="138" ht="44" customHeight="1">
      <x:c r="A138" s="14" t="str">
        <x:v>WIKIHTML-PT-44171-72178684</x:v>
      </x:c>
      <x:c r="B138" s="14" t="str">
        <x:v>WIKI-pt-44171-72178684</x:v>
      </x:c>
      <x:c r="C138" s="4" t="str">
        <x:v>pt</x:v>
      </x:c>
      <x:c r="D138" s="4" t="str">
        <x:v>pt</x:v>
      </x:c>
      <x:c r="E138" s="14" t="str">
        <x:v>standard Portuguese</x:v>
      </x:c>
      <x:c r="F138" s="4" t="str">
        <x:v>Portugal Africa and Brazil</x:v>
      </x:c>
      <x:c r="G138" s="4" t="str">
        <x:v>Latn</x:v>
      </x:c>
      <x:c r="H138" s="4" t="str"/>
      <x:c r="I138" s="4" t="str"/>
      <x:c r="J138" s="4" t="str"/>
      <x:c r="K138" s="17" t="str"/>
      <x:c r="L138" s="4" t="str">
        <x:v>abstract_algebra</x:v>
      </x:c>
      <x:c r="M138" s="4" t="str">
        <x:v>abstract_algebra</x:v>
      </x:c>
      <x:c r="N138" s="14" t="str">
        <x:v>manual_topic_review_20260717</x:v>
      </x:c>
      <x:c r="O138" s="4" t="str">
        <x:v>unresolved_register</x:v>
      </x:c>
      <x:c r="P138" s="14" t="str">
        <x:v>Álgebra</x:v>
      </x:c>
      <x:c r="Q138" s="4" t="str">
        <x:v>html</x:v>
      </x:c>
      <x:c r="R138" s="25" t="str">
        <x:v>757434</x:v>
      </x:c>
      <x:c r="S138" s="4" t="str">
        <x:v>EB1130181F3D982C22A1CCF0EBB21DD027DD3187F7CC9DE62FB14B1AA4F80568</x:v>
      </x:c>
      <x:c r="T138" s="4" t="str">
        <x:v>5612741FA9FD81A3BDB94C717C0FBEE0724DED8F5FFC2ED3478571B74369F23B</x:v>
      </x:c>
      <x:c r="U138" s="4" t="str">
        <x:v>derived_visible_text</x:v>
      </x:c>
      <x:c r="V138" s="14" t="str">
        <x:v>https://pt.wikipedia.org/w/index.php?curid=44171&amp;oldid=72178684</x:v>
      </x:c>
      <x:c r="W138" s="14" t="str">
        <x:v>public_http_locator_preserved</x:v>
      </x:c>
      <x:c r="X138" s="4" t="str">
        <x:v>72178684</x:v>
      </x:c>
      <x:c r="Y138" s="14" t="str">
        <x:v>native_revision_pinned_context_shelf</x:v>
      </x:c>
      <x:c r="Z138" s="14" t="str">
        <x:v>https://creativecommons.org/licenses/by-sa/4.0/deed.pt</x:v>
      </x:c>
      <x:c r="AA138" s="14" t="str">
        <x:v>declared_cc_by_sa_4_0</x:v>
      </x:c>
      <x:c r="AB138" s="4" t="str">
        <x:v>local_computed</x:v>
      </x:c>
      <x:c r="AC138" s="14" t="str">
        <x:v>page_topic_reviewed_term_occurrences_require_context_review</x:v>
      </x:c>
      <x:c r="AD138" s="4" t="str">
        <x:v>true</x:v>
      </x:c>
      <x:c r="AE138" s="4" t="str">
        <x:v>true</x:v>
      </x:c>
      <x:c r="AF138" s="4" t="str">
        <x:v>false</x:v>
      </x:c>
      <x:c r="AG138" s="14" t="str">
        <x:v>representation_alias_of:WIKITEXT-PT-44171-72178684</x:v>
      </x:c>
      <x:c r="AH138" s="25" t="str">
        <x:v>false</x:v>
      </x:c>
      <x:c r="AI138" s="4" t="str">
        <x:v>false</x:v>
      </x:c>
      <x:c r="AJ138" s="4" t="str">
        <x:v>preserved_noncounting_source_or_alias</x:v>
      </x:c>
      <x:c r="AK138" s="4" t="str">
        <x:v>false</x:v>
      </x:c>
      <x:c r="AL138" s="4" t="str">
        <x:v>false</x:v>
      </x:c>
      <x:c r="AM138" s="14" t="str"/>
      <x:c r="AN138" s="14" t="str">
        <x:v>not_declared</x:v>
      </x:c>
      <x:c r="AO138" s="4" t="str">
        <x:v>false</x:v>
      </x:c>
      <x:c r="AP138" s="14" t="str"/>
      <x:c r="AQ138" s="4" t="str"/>
    </x:row>
    <x:row r="139" ht="44" customHeight="1">
      <x:c r="A139" s="14" t="str">
        <x:v>WIKIHTML-PT-60301-68734795</x:v>
      </x:c>
      <x:c r="B139" s="14" t="str">
        <x:v>WIKI-pt-60301-68734795</x:v>
      </x:c>
      <x:c r="C139" s="4" t="str">
        <x:v>pt</x:v>
      </x:c>
      <x:c r="D139" s="4" t="str">
        <x:v>pt</x:v>
      </x:c>
      <x:c r="E139" s="14" t="str">
        <x:v>standard Portuguese</x:v>
      </x:c>
      <x:c r="F139" s="4" t="str">
        <x:v>Portugal Africa and Brazil</x:v>
      </x:c>
      <x:c r="G139" s="4" t="str">
        <x:v>Latn</x:v>
      </x:c>
      <x:c r="H139" s="4" t="str"/>
      <x:c r="I139" s="4" t="str"/>
      <x:c r="J139" s="4" t="str"/>
      <x:c r="K139" s="17" t="str"/>
      <x:c r="L139" s="4" t="str">
        <x:v>abstract_algebra</x:v>
      </x:c>
      <x:c r="M139" s="4" t="str">
        <x:v>abstract_algebra</x:v>
      </x:c>
      <x:c r="N139" s="14" t="str">
        <x:v>manual_topic_review_20260717</x:v>
      </x:c>
      <x:c r="O139" s="4" t="str">
        <x:v>unresolved_register</x:v>
      </x:c>
      <x:c r="P139" s="14" t="str">
        <x:v>Álgebra abstrata</x:v>
      </x:c>
      <x:c r="Q139" s="4" t="str">
        <x:v>html</x:v>
      </x:c>
      <x:c r="R139" s="25" t="str">
        <x:v>155658</x:v>
      </x:c>
      <x:c r="S139" s="4" t="str">
        <x:v>E242C0297FB17E1248FC5E01F55430DAE8691F57B55EAF70F6B05DF4EB72E2AB</x:v>
      </x:c>
      <x:c r="T139" s="4" t="str">
        <x:v>170511162189EE16AFA629CE4F88D6476A3FFD3BC5BB3C7A793843B053E9993D</x:v>
      </x:c>
      <x:c r="U139" s="4" t="str">
        <x:v>derived_visible_text</x:v>
      </x:c>
      <x:c r="V139" s="14" t="str">
        <x:v>https://pt.wikipedia.org/w/index.php?curid=60301&amp;oldid=68734795</x:v>
      </x:c>
      <x:c r="W139" s="14" t="str">
        <x:v>public_http_locator_preserved</x:v>
      </x:c>
      <x:c r="X139" s="4" t="str">
        <x:v>68734795</x:v>
      </x:c>
      <x:c r="Y139" s="14" t="str">
        <x:v>native_revision_pinned_context_shelf</x:v>
      </x:c>
      <x:c r="Z139" s="14" t="str">
        <x:v>https://creativecommons.org/licenses/by-sa/4.0/deed.pt</x:v>
      </x:c>
      <x:c r="AA139" s="14" t="str">
        <x:v>declared_cc_by_sa_4_0</x:v>
      </x:c>
      <x:c r="AB139" s="4" t="str">
        <x:v>local_computed</x:v>
      </x:c>
      <x:c r="AC139" s="14" t="str">
        <x:v>page_topic_reviewed_term_occurrences_require_context_review</x:v>
      </x:c>
      <x:c r="AD139" s="4" t="str">
        <x:v>true</x:v>
      </x:c>
      <x:c r="AE139" s="4" t="str">
        <x:v>true</x:v>
      </x:c>
      <x:c r="AF139" s="4" t="str">
        <x:v>false</x:v>
      </x:c>
      <x:c r="AG139" s="14" t="str">
        <x:v>primary_unique</x:v>
      </x:c>
      <x:c r="AH139" s="25" t="str">
        <x:v>true</x:v>
      </x:c>
      <x:c r="AI139" s="4" t="str">
        <x:v>false</x:v>
      </x:c>
      <x:c r="AJ139" s="4" t="str">
        <x:v>active_source_body</x:v>
      </x:c>
      <x:c r="AK139" s="4" t="str">
        <x:v>true</x:v>
      </x:c>
      <x:c r="AL139" s="4" t="str">
        <x:v>false</x:v>
      </x:c>
      <x:c r="AM139" s="14" t="str"/>
      <x:c r="AN139" s="14" t="str">
        <x:v>not_declared</x:v>
      </x:c>
      <x:c r="AO139" s="4" t="str">
        <x:v>true</x:v>
      </x:c>
      <x:c r="AP139" s="14" t="str"/>
      <x:c r="AQ139" s="4" t="str"/>
    </x:row>
    <x:row r="140" ht="44" customHeight="1">
      <x:c r="A140" s="14" t="str">
        <x:v>WIKIHTML-PT-616487-72002999</x:v>
      </x:c>
      <x:c r="B140" s="14" t="str">
        <x:v>WIKI-pt-616487-72002999</x:v>
      </x:c>
      <x:c r="C140" s="4" t="str">
        <x:v>pt</x:v>
      </x:c>
      <x:c r="D140" s="4" t="str">
        <x:v>pt</x:v>
      </x:c>
      <x:c r="E140" s="14" t="str">
        <x:v>standard Portuguese</x:v>
      </x:c>
      <x:c r="F140" s="4" t="str">
        <x:v>Portugal Africa and Brazil</x:v>
      </x:c>
      <x:c r="G140" s="4" t="str">
        <x:v>Latn</x:v>
      </x:c>
      <x:c r="H140" s="4" t="str"/>
      <x:c r="I140" s="4" t="str"/>
      <x:c r="J140" s="4" t="str"/>
      <x:c r="K140" s="17" t="str"/>
      <x:c r="L140" s="4" t="str">
        <x:v>module_theory</x:v>
      </x:c>
      <x:c r="M140" s="4" t="str">
        <x:v>module_theory;ring_theory</x:v>
      </x:c>
      <x:c r="N140" s="14" t="str">
        <x:v>manual_topic_review_20260717</x:v>
      </x:c>
      <x:c r="O140" s="4" t="str">
        <x:v>unresolved_register</x:v>
      </x:c>
      <x:c r="P140" s="14" t="str">
        <x:v>Módulo (matemática)</x:v>
      </x:c>
      <x:c r="Q140" s="4" t="str">
        <x:v>html</x:v>
      </x:c>
      <x:c r="R140" s="25" t="str">
        <x:v>435617</x:v>
      </x:c>
      <x:c r="S140" s="4" t="str">
        <x:v>617BB2A637B1825FD72E43A97AF276FD07F7D54DE85991FD2FC6001E545F693F</x:v>
      </x:c>
      <x:c r="T140" s="4" t="str">
        <x:v>9ED05C795E3EBC99B139D137A1E661DB2D34A2589A0AF83730532F4593D82F2D</x:v>
      </x:c>
      <x:c r="U140" s="4" t="str">
        <x:v>derived_visible_text</x:v>
      </x:c>
      <x:c r="V140" s="14" t="str">
        <x:v>https://pt.wikipedia.org/w/index.php?curid=616487&amp;oldid=72002999</x:v>
      </x:c>
      <x:c r="W140" s="14" t="str">
        <x:v>public_http_locator_preserved</x:v>
      </x:c>
      <x:c r="X140" s="4" t="str">
        <x:v>72002999</x:v>
      </x:c>
      <x:c r="Y140" s="14" t="str">
        <x:v>native_revision_pinned_context_shelf</x:v>
      </x:c>
      <x:c r="Z140" s="14" t="str">
        <x:v>https://creativecommons.org/licenses/by-sa/4.0/deed.pt</x:v>
      </x:c>
      <x:c r="AA140" s="14" t="str">
        <x:v>declared_cc_by_sa_4_0</x:v>
      </x:c>
      <x:c r="AB140" s="4" t="str">
        <x:v>local_computed</x:v>
      </x:c>
      <x:c r="AC140" s="14" t="str">
        <x:v>page_topic_reviewed_term_occurrences_require_context_review</x:v>
      </x:c>
      <x:c r="AD140" s="4" t="str">
        <x:v>true</x:v>
      </x:c>
      <x:c r="AE140" s="4" t="str">
        <x:v>true</x:v>
      </x:c>
      <x:c r="AF140" s="4" t="str">
        <x:v>false</x:v>
      </x:c>
      <x:c r="AG140" s="14" t="str">
        <x:v>primary_unique</x:v>
      </x:c>
      <x:c r="AH140" s="25" t="str">
        <x:v>true</x:v>
      </x:c>
      <x:c r="AI140" s="4" t="str">
        <x:v>false</x:v>
      </x:c>
      <x:c r="AJ140" s="4" t="str">
        <x:v>active_source_body</x:v>
      </x:c>
      <x:c r="AK140" s="4" t="str">
        <x:v>true</x:v>
      </x:c>
      <x:c r="AL140" s="4" t="str">
        <x:v>false</x:v>
      </x:c>
      <x:c r="AM140" s="14" t="str"/>
      <x:c r="AN140" s="14" t="str">
        <x:v>not_declared</x:v>
      </x:c>
      <x:c r="AO140" s="4" t="str">
        <x:v>true</x:v>
      </x:c>
      <x:c r="AP140" s="14" t="str"/>
      <x:c r="AQ140" s="4" t="str"/>
    </x:row>
    <x:row r="141" ht="44" customHeight="1">
      <x:c r="A141" s="14" t="str">
        <x:v>WIKITEXT-PT-64307-72023539</x:v>
      </x:c>
      <x:c r="B141" s="14" t="str">
        <x:v>WIKI-pt-64307-72023539</x:v>
      </x:c>
      <x:c r="C141" s="4" t="str">
        <x:v>pt</x:v>
      </x:c>
      <x:c r="D141" s="4" t="str">
        <x:v>pt</x:v>
      </x:c>
      <x:c r="E141" s="14" t="str">
        <x:v>standard Portuguese</x:v>
      </x:c>
      <x:c r="F141" s="4" t="str">
        <x:v>Portugal Africa and Brazil</x:v>
      </x:c>
      <x:c r="G141" s="4" t="str">
        <x:v>Latn</x:v>
      </x:c>
      <x:c r="H141" s="4" t="str"/>
      <x:c r="I141" s="4" t="str"/>
      <x:c r="J141" s="4" t="str"/>
      <x:c r="K141" s="17" t="str"/>
      <x:c r="L141" s="4" t="str">
        <x:v>mathematics_mixed</x:v>
      </x:c>
      <x:c r="M141" s="4" t="str">
        <x:v>mathematics_mixed</x:v>
      </x:c>
      <x:c r="N141" s="14" t="str">
        <x:v>unreviewed_partial_api_title_inference</x:v>
      </x:c>
      <x:c r="O141" s="4" t="str">
        <x:v>unresolved_register</x:v>
      </x:c>
      <x:c r="P141" s="14" t="str">
        <x:v>Matriz matemática</x:v>
      </x:c>
      <x:c r="Q141" s="4" t="str">
        <x:v>wikitext</x:v>
      </x:c>
      <x:c r="R141" s="25" t="str">
        <x:v>137073</x:v>
      </x:c>
      <x:c r="S141" s="4" t="str">
        <x:v>DBAEF195E165632530A90EE7F9E837224896C25A54EC410D43EEC014E3155409</x:v>
      </x:c>
      <x:c r="T141" s="4" t="str">
        <x:v>DBAEF195E165632530A90EE7F9E837224896C25A54EC410D43EEC014E3155409</x:v>
      </x:c>
      <x:c r="U141" s="4" t="str">
        <x:v>source_file_is_canonical_search_text</x:v>
      </x:c>
      <x:c r="V141" s="14" t="str">
        <x:v>https://pt.wikipedia.org/w/index.php?curid=64307&amp;oldid=72023539</x:v>
      </x:c>
      <x:c r="W141" s="14" t="str">
        <x:v>public_http_locator_preserved</x:v>
      </x:c>
      <x:c r="X141" s="4" t="str">
        <x:v>72023539</x:v>
      </x:c>
      <x:c r="Y141" s="14" t="str">
        <x:v>partial_api_acquisition_preserved</x:v>
      </x:c>
      <x:c r="Z141" s="14" t="str">
        <x:v>Wikimedia project text; verify page footer/rightsinfo</x:v>
      </x:c>
      <x:c r="AA141" s="14" t="str">
        <x:v>declared_cc_by_sa_4_0_project_terms_pending_page_match</x:v>
      </x:c>
      <x:c r="AB141" s="4" t="str">
        <x:v>local_computed</x:v>
      </x:c>
      <x:c r="AC141" s="14" t="str">
        <x:v>automatic_search_result_requires_manual_review</x:v>
      </x:c>
      <x:c r="AD141" s="4" t="str">
        <x:v>false</x:v>
      </x:c>
      <x:c r="AE141" s="4" t="str">
        <x:v>true</x:v>
      </x:c>
      <x:c r="AF141" s="4" t="str">
        <x:v>false</x:v>
      </x:c>
      <x:c r="AG141" s="14" t="str">
        <x:v>primary_unique</x:v>
      </x:c>
      <x:c r="AH141" s="25" t="str">
        <x:v>false</x:v>
      </x:c>
      <x:c r="AI141" s="4" t="str">
        <x:v>false</x:v>
      </x:c>
      <x:c r="AJ141" s="4" t="str">
        <x:v>preserved_noncounting_source_or_alias</x:v>
      </x:c>
      <x:c r="AK141" s="4" t="str">
        <x:v>false</x:v>
      </x:c>
      <x:c r="AL141" s="4" t="str">
        <x:v>false</x:v>
      </x:c>
      <x:c r="AM141" s="14" t="str"/>
      <x:c r="AN141" s="14" t="str">
        <x:v>not_declared</x:v>
      </x:c>
      <x:c r="AO141" s="4" t="str">
        <x:v>false</x:v>
      </x:c>
      <x:c r="AP141" s="14" t="str"/>
      <x:c r="AQ141" s="4" t="str"/>
    </x:row>
    <x:row r="142" ht="44" customHeight="1">
      <x:c r="A142" s="14" t="str">
        <x:v>WIKIHTML-PT-94226-72063411</x:v>
      </x:c>
      <x:c r="B142" s="14" t="str">
        <x:v>WIKI-pt-94226-72063411</x:v>
      </x:c>
      <x:c r="C142" s="4" t="str">
        <x:v>pt</x:v>
      </x:c>
      <x:c r="D142" s="4" t="str">
        <x:v>pt</x:v>
      </x:c>
      <x:c r="E142" s="14" t="str">
        <x:v>standard Portuguese</x:v>
      </x:c>
      <x:c r="F142" s="4" t="str">
        <x:v>Portugal Africa and Brazil</x:v>
      </x:c>
      <x:c r="G142" s="4" t="str">
        <x:v>Latn</x:v>
      </x:c>
      <x:c r="H142" s="4" t="str"/>
      <x:c r="I142" s="4" t="str"/>
      <x:c r="J142" s="4" t="str"/>
      <x:c r="K142" s="17" t="str"/>
      <x:c r="L142" s="4" t="str">
        <x:v>proof_register</x:v>
      </x:c>
      <x:c r="M142" s="4" t="str">
        <x:v>proof_register;mathematics_general</x:v>
      </x:c>
      <x:c r="N142" s="14" t="str">
        <x:v>manual_topic_review_20260717</x:v>
      </x:c>
      <x:c r="O142" s="4" t="str">
        <x:v>unresolved_register</x:v>
      </x:c>
      <x:c r="P142" s="14" t="str">
        <x:v>Prova matemática</x:v>
      </x:c>
      <x:c r="Q142" s="4" t="str">
        <x:v>html</x:v>
      </x:c>
      <x:c r="R142" s="25" t="str">
        <x:v>179177</x:v>
      </x:c>
      <x:c r="S142" s="4" t="str">
        <x:v>CC2F5FB250E56292CC6070C082B809572C97B1BCD38D82DAC041719D672DD048</x:v>
      </x:c>
      <x:c r="T142" s="4" t="str">
        <x:v>78532B5EF9B95EB287FCFDD08A3617D3FC52AFE9782F03F46078BA249F3CEFA7</x:v>
      </x:c>
      <x:c r="U142" s="4" t="str">
        <x:v>derived_visible_text</x:v>
      </x:c>
      <x:c r="V142" s="14" t="str">
        <x:v>https://pt.wikipedia.org/w/index.php?curid=94226&amp;oldid=72063411</x:v>
      </x:c>
      <x:c r="W142" s="14" t="str">
        <x:v>public_http_locator_preserved</x:v>
      </x:c>
      <x:c r="X142" s="4" t="str">
        <x:v>72063411</x:v>
      </x:c>
      <x:c r="Y142" s="14" t="str">
        <x:v>native_revision_pinned_context_shelf</x:v>
      </x:c>
      <x:c r="Z142" s="14" t="str">
        <x:v>https://creativecommons.org/licenses/by-sa/4.0/deed.pt</x:v>
      </x:c>
      <x:c r="AA142" s="14" t="str">
        <x:v>declared_cc_by_sa_4_0</x:v>
      </x:c>
      <x:c r="AB142" s="4" t="str">
        <x:v>local_computed</x:v>
      </x:c>
      <x:c r="AC142" s="14" t="str">
        <x:v>page_topic_reviewed_term_occurrences_require_context_review</x:v>
      </x:c>
      <x:c r="AD142" s="4" t="str">
        <x:v>true</x:v>
      </x:c>
      <x:c r="AE142" s="4" t="str">
        <x:v>true</x:v>
      </x:c>
      <x:c r="AF142" s="4" t="str">
        <x:v>false</x:v>
      </x:c>
      <x:c r="AG142" s="14" t="str">
        <x:v>primary_unique</x:v>
      </x:c>
      <x:c r="AH142" s="25" t="str">
        <x:v>true</x:v>
      </x:c>
      <x:c r="AI142" s="4" t="str">
        <x:v>false</x:v>
      </x:c>
      <x:c r="AJ142" s="4" t="str">
        <x:v>active_source_body</x:v>
      </x:c>
      <x:c r="AK142" s="4" t="str">
        <x:v>true</x:v>
      </x:c>
      <x:c r="AL142" s="4" t="str">
        <x:v>false</x:v>
      </x:c>
      <x:c r="AM142" s="14" t="str"/>
      <x:c r="AN142" s="14" t="str">
        <x:v>not_declared</x:v>
      </x:c>
      <x:c r="AO142" s="4" t="str">
        <x:v>false</x:v>
      </x:c>
      <x:c r="AP142" s="14" t="str"/>
      <x:c r="AQ142" s="4" t="str"/>
    </x:row>
    <x:row r="143" ht="44" customHeight="1">
      <x:c r="A143" s="14" t="str">
        <x:v>WIKIHTML-PT-9559-68653183</x:v>
      </x:c>
      <x:c r="B143" s="14" t="str">
        <x:v>WIKI-pt-9559-68653183</x:v>
      </x:c>
      <x:c r="C143" s="4" t="str">
        <x:v>pt</x:v>
      </x:c>
      <x:c r="D143" s="4" t="str">
        <x:v>pt</x:v>
      </x:c>
      <x:c r="E143" s="14" t="str">
        <x:v>standard Portuguese</x:v>
      </x:c>
      <x:c r="F143" s="4" t="str">
        <x:v>Portugal Africa and Brazil</x:v>
      </x:c>
      <x:c r="G143" s="4" t="str">
        <x:v>Latn</x:v>
      </x:c>
      <x:c r="H143" s="4" t="str"/>
      <x:c r="I143" s="4" t="str"/>
      <x:c r="J143" s="4" t="str"/>
      <x:c r="K143" s="17" t="str"/>
      <x:c r="L143" s="4" t="str">
        <x:v>ring_theory</x:v>
      </x:c>
      <x:c r="M143" s="4" t="str">
        <x:v>ring_theory;abstract_algebra</x:v>
      </x:c>
      <x:c r="N143" s="14" t="str">
        <x:v>manual_topic_review_20260717</x:v>
      </x:c>
      <x:c r="O143" s="4" t="str">
        <x:v>unresolved_register</x:v>
      </x:c>
      <x:c r="P143" s="14" t="str">
        <x:v>Anel (matemática)</x:v>
      </x:c>
      <x:c r="Q143" s="4" t="str">
        <x:v>html</x:v>
      </x:c>
      <x:c r="R143" s="25" t="str">
        <x:v>301355</x:v>
      </x:c>
      <x:c r="S143" s="4" t="str">
        <x:v>98811C8D5A9E672DE74456F34EA7B1FE129FBF5E5284A50FE8B9770B54178980</x:v>
      </x:c>
      <x:c r="T143" s="4" t="str">
        <x:v>B15A4D625F02F38247FDCC2E51A0971A0A5E968003B2BD76A0048C451CE198CF</x:v>
      </x:c>
      <x:c r="U143" s="4" t="str">
        <x:v>derived_visible_text</x:v>
      </x:c>
      <x:c r="V143" s="14" t="str">
        <x:v>https://pt.wikipedia.org/w/index.php?curid=9559&amp;oldid=68653183</x:v>
      </x:c>
      <x:c r="W143" s="14" t="str">
        <x:v>public_http_locator_preserved</x:v>
      </x:c>
      <x:c r="X143" s="4" t="str">
        <x:v>68653183</x:v>
      </x:c>
      <x:c r="Y143" s="14" t="str">
        <x:v>native_revision_pinned_context_shelf</x:v>
      </x:c>
      <x:c r="Z143" s="14" t="str">
        <x:v>https://creativecommons.org/licenses/by-sa/4.0/deed.pt</x:v>
      </x:c>
      <x:c r="AA143" s="14" t="str">
        <x:v>declared_cc_by_sa_4_0</x:v>
      </x:c>
      <x:c r="AB143" s="4" t="str">
        <x:v>local_computed</x:v>
      </x:c>
      <x:c r="AC143" s="14" t="str">
        <x:v>page_topic_reviewed_term_occurrences_require_context_review</x:v>
      </x:c>
      <x:c r="AD143" s="4" t="str">
        <x:v>true</x:v>
      </x:c>
      <x:c r="AE143" s="4" t="str">
        <x:v>true</x:v>
      </x:c>
      <x:c r="AF143" s="4" t="str">
        <x:v>false</x:v>
      </x:c>
      <x:c r="AG143" s="14" t="str">
        <x:v>primary_unique</x:v>
      </x:c>
      <x:c r="AH143" s="25" t="str">
        <x:v>true</x:v>
      </x:c>
      <x:c r="AI143" s="4" t="str">
        <x:v>false</x:v>
      </x:c>
      <x:c r="AJ143" s="4" t="str">
        <x:v>active_source_body</x:v>
      </x:c>
      <x:c r="AK143" s="4" t="str">
        <x:v>true</x:v>
      </x:c>
      <x:c r="AL143" s="4" t="str">
        <x:v>false</x:v>
      </x:c>
      <x:c r="AM143" s="14" t="str"/>
      <x:c r="AN143" s="14" t="str">
        <x:v>not_declared</x:v>
      </x:c>
      <x:c r="AO143" s="4" t="str">
        <x:v>true</x:v>
      </x:c>
      <x:c r="AP143" s="14" t="str"/>
      <x:c r="AQ143" s="4" t="str"/>
    </x:row>
    <x:row r="144" ht="44" customHeight="1">
      <x:c r="A144" s="14" t="str">
        <x:v>WIKIHTML-RO-1106041-16295374</x:v>
      </x:c>
      <x:c r="B144" s="14" t="str">
        <x:v>WIKI-ro-1106041-16295374</x:v>
      </x:c>
      <x:c r="C144" s="4" t="str">
        <x:v>ro</x:v>
      </x:c>
      <x:c r="D144" s="4" t="str">
        <x:v>ro</x:v>
      </x:c>
      <x:c r="E144" s="14" t="str">
        <x:v>standard Romanian</x:v>
      </x:c>
      <x:c r="F144" s="4" t="str">
        <x:v>Romania and Moldova</x:v>
      </x:c>
      <x:c r="G144" s="4" t="str">
        <x:v>Latn</x:v>
      </x:c>
      <x:c r="H144" s="4" t="str"/>
      <x:c r="I144" s="4" t="str"/>
      <x:c r="J144" s="4" t="str"/>
      <x:c r="K144" s="17" t="str"/>
      <x:c r="L144" s="4" t="str">
        <x:v>proof_register</x:v>
      </x:c>
      <x:c r="M144" s="4" t="str">
        <x:v>proof_register;mathematics_general</x:v>
      </x:c>
      <x:c r="N144" s="14" t="str">
        <x:v>manual_topic_review_20260717</x:v>
      </x:c>
      <x:c r="O144" s="4" t="str">
        <x:v>unresolved_register</x:v>
      </x:c>
      <x:c r="P144" s="14" t="str">
        <x:v>Demonstrație matematică</x:v>
      </x:c>
      <x:c r="Q144" s="4" t="str">
        <x:v>html</x:v>
      </x:c>
      <x:c r="R144" s="25" t="str">
        <x:v>106204</x:v>
      </x:c>
      <x:c r="S144" s="4" t="str">
        <x:v>1ADEE17E836FD8574FEBE14147B47EBE8E04A35972FB93952BE8347D320696D8</x:v>
      </x:c>
      <x:c r="T144" s="4" t="str">
        <x:v>0E01FE00B522DC9D7A5983D4AD9ACB30658729ED99D1CCDCF7CDBBEA5D0810C6</x:v>
      </x:c>
      <x:c r="U144" s="4" t="str">
        <x:v>derived_visible_text</x:v>
      </x:c>
      <x:c r="V144" s="14" t="str">
        <x:v>https://ro.wikipedia.org/w/index.php?curid=1106041&amp;oldid=16295374</x:v>
      </x:c>
      <x:c r="W144" s="14" t="str">
        <x:v>public_http_locator_preserved</x:v>
      </x:c>
      <x:c r="X144" s="4" t="str">
        <x:v>16295374</x:v>
      </x:c>
      <x:c r="Y144" s="14" t="str">
        <x:v>native_revision_pinned_context_shelf</x:v>
      </x:c>
      <x:c r="Z144" s="14" t="str">
        <x:v>https://creativecommons.org/licenses/by-sa/4.0/deed.ro</x:v>
      </x:c>
      <x:c r="AA144" s="14" t="str">
        <x:v>declared_cc_by_sa_4_0</x:v>
      </x:c>
      <x:c r="AB144" s="4" t="str">
        <x:v>local_computed</x:v>
      </x:c>
      <x:c r="AC144" s="14" t="str">
        <x:v>page_topic_reviewed_term_occurrences_require_context_review</x:v>
      </x:c>
      <x:c r="AD144" s="4" t="str">
        <x:v>true</x:v>
      </x:c>
      <x:c r="AE144" s="4" t="str">
        <x:v>true</x:v>
      </x:c>
      <x:c r="AF144" s="4" t="str">
        <x:v>false</x:v>
      </x:c>
      <x:c r="AG144" s="14" t="str">
        <x:v>primary_unique</x:v>
      </x:c>
      <x:c r="AH144" s="25" t="str">
        <x:v>true</x:v>
      </x:c>
      <x:c r="AI144" s="4" t="str">
        <x:v>false</x:v>
      </x:c>
      <x:c r="AJ144" s="4" t="str">
        <x:v>active_source_body</x:v>
      </x:c>
      <x:c r="AK144" s="4" t="str">
        <x:v>true</x:v>
      </x:c>
      <x:c r="AL144" s="4" t="str">
        <x:v>false</x:v>
      </x:c>
      <x:c r="AM144" s="14" t="str"/>
      <x:c r="AN144" s="14" t="str">
        <x:v>not_declared</x:v>
      </x:c>
      <x:c r="AO144" s="4" t="str">
        <x:v>false</x:v>
      </x:c>
      <x:c r="AP144" s="14" t="str"/>
      <x:c r="AQ144" s="4" t="str"/>
    </x:row>
    <x:row r="145" ht="44" customHeight="1">
      <x:c r="A145" s="14" t="str">
        <x:v>WIKIHTML-RO-12164-17778278</x:v>
      </x:c>
      <x:c r="B145" s="14" t="str">
        <x:v>WIKI-ro-12164-17778278</x:v>
      </x:c>
      <x:c r="C145" s="4" t="str">
        <x:v>ro</x:v>
      </x:c>
      <x:c r="D145" s="4" t="str">
        <x:v>ro</x:v>
      </x:c>
      <x:c r="E145" s="14" t="str">
        <x:v>standard Romanian</x:v>
      </x:c>
      <x:c r="F145" s="4" t="str">
        <x:v>Romania and Moldova</x:v>
      </x:c>
      <x:c r="G145" s="4" t="str">
        <x:v>Latn</x:v>
      </x:c>
      <x:c r="H145" s="4" t="str"/>
      <x:c r="I145" s="4" t="str"/>
      <x:c r="J145" s="4" t="str"/>
      <x:c r="K145" s="17" t="str"/>
      <x:c r="L145" s="4" t="str">
        <x:v>ring_theory</x:v>
      </x:c>
      <x:c r="M145" s="4" t="str">
        <x:v>ring_theory;abstract_algebra</x:v>
      </x:c>
      <x:c r="N145" s="14" t="str">
        <x:v>manual_topic_review_20260717</x:v>
      </x:c>
      <x:c r="O145" s="4" t="str">
        <x:v>unresolved_register</x:v>
      </x:c>
      <x:c r="P145" s="14" t="str">
        <x:v>Inel (matematică)</x:v>
      </x:c>
      <x:c r="Q145" s="4" t="str">
        <x:v>html</x:v>
      </x:c>
      <x:c r="R145" s="25" t="str">
        <x:v>163000</x:v>
      </x:c>
      <x:c r="S145" s="4" t="str">
        <x:v>33D905FE61CF9704753FCE22573D97B81117E7014C3CE5A64350F1C3E5401B3A</x:v>
      </x:c>
      <x:c r="T145" s="4" t="str">
        <x:v>F6EE2A05BA0619D7F36F09BB98590E7A7A95E3C89C8668E2CFF2829C25B2EBCB</x:v>
      </x:c>
      <x:c r="U145" s="4" t="str">
        <x:v>derived_visible_text</x:v>
      </x:c>
      <x:c r="V145" s="14" t="str">
        <x:v>https://ro.wikipedia.org/w/index.php?curid=12164&amp;oldid=17778278</x:v>
      </x:c>
      <x:c r="W145" s="14" t="str">
        <x:v>public_http_locator_preserved</x:v>
      </x:c>
      <x:c r="X145" s="4" t="str">
        <x:v>17778278</x:v>
      </x:c>
      <x:c r="Y145" s="14" t="str">
        <x:v>native_revision_pinned_context_shelf</x:v>
      </x:c>
      <x:c r="Z145" s="14" t="str">
        <x:v>https://creativecommons.org/licenses/by-sa/4.0/deed.ro</x:v>
      </x:c>
      <x:c r="AA145" s="14" t="str">
        <x:v>declared_cc_by_sa_4_0</x:v>
      </x:c>
      <x:c r="AB145" s="4" t="str">
        <x:v>local_computed</x:v>
      </x:c>
      <x:c r="AC145" s="14" t="str">
        <x:v>page_topic_reviewed_term_occurrences_require_context_review</x:v>
      </x:c>
      <x:c r="AD145" s="4" t="str">
        <x:v>true</x:v>
      </x:c>
      <x:c r="AE145" s="4" t="str">
        <x:v>true</x:v>
      </x:c>
      <x:c r="AF145" s="4" t="str">
        <x:v>false</x:v>
      </x:c>
      <x:c r="AG145" s="14" t="str">
        <x:v>primary_unique</x:v>
      </x:c>
      <x:c r="AH145" s="25" t="str">
        <x:v>true</x:v>
      </x:c>
      <x:c r="AI145" s="4" t="str">
        <x:v>false</x:v>
      </x:c>
      <x:c r="AJ145" s="4" t="str">
        <x:v>active_source_body</x:v>
      </x:c>
      <x:c r="AK145" s="4" t="str">
        <x:v>true</x:v>
      </x:c>
      <x:c r="AL145" s="4" t="str">
        <x:v>false</x:v>
      </x:c>
      <x:c r="AM145" s="14" t="str"/>
      <x:c r="AN145" s="14" t="str">
        <x:v>not_declared</x:v>
      </x:c>
      <x:c r="AO145" s="4" t="str">
        <x:v>true</x:v>
      </x:c>
      <x:c r="AP145" s="14" t="str"/>
      <x:c r="AQ145" s="4" t="str"/>
    </x:row>
    <x:row r="146" ht="44" customHeight="1">
      <x:c r="A146" s="14" t="str">
        <x:v>WIKIHTML-RO-2398153-17567738</x:v>
      </x:c>
      <x:c r="B146" s="14" t="str">
        <x:v>WIKI-ro-2398153-17567738</x:v>
      </x:c>
      <x:c r="C146" s="4" t="str">
        <x:v>ro</x:v>
      </x:c>
      <x:c r="D146" s="4" t="str">
        <x:v>ro</x:v>
      </x:c>
      <x:c r="E146" s="14" t="str">
        <x:v>standard Romanian</x:v>
      </x:c>
      <x:c r="F146" s="4" t="str">
        <x:v>Romania and Moldova</x:v>
      </x:c>
      <x:c r="G146" s="4" t="str">
        <x:v>Latn</x:v>
      </x:c>
      <x:c r="H146" s="4" t="str"/>
      <x:c r="I146" s="4" t="str"/>
      <x:c r="J146" s="4" t="str"/>
      <x:c r="K146" s="17" t="str"/>
      <x:c r="L146" s="4" t="str">
        <x:v>group_theory</x:v>
      </x:c>
      <x:c r="M146" s="4" t="str">
        <x:v>group_theory;abstract_algebra</x:v>
      </x:c>
      <x:c r="N146" s="14" t="str">
        <x:v>manual_topic_review_20260717</x:v>
      </x:c>
      <x:c r="O146" s="4" t="str">
        <x:v>unresolved_register</x:v>
      </x:c>
      <x:c r="P146" s="14" t="str">
        <x:v>Teoria grupurilor</x:v>
      </x:c>
      <x:c r="Q146" s="4" t="str">
        <x:v>html</x:v>
      </x:c>
      <x:c r="R146" s="25" t="str">
        <x:v>362363</x:v>
      </x:c>
      <x:c r="S146" s="4" t="str">
        <x:v>7EA192CF87FA81183609981BF8355DFB8959286D9FB95B0D3DF535B071B2FB1B</x:v>
      </x:c>
      <x:c r="T146" s="4" t="str">
        <x:v>64D560DA5A7F03F97080A7750767E1CEC077AA2F96A0E536D11C9398E264106C</x:v>
      </x:c>
      <x:c r="U146" s="4" t="str">
        <x:v>derived_visible_text</x:v>
      </x:c>
      <x:c r="V146" s="14" t="str">
        <x:v>https://ro.wikipedia.org/w/index.php?curid=2398153&amp;oldid=17567738</x:v>
      </x:c>
      <x:c r="W146" s="14" t="str">
        <x:v>public_http_locator_preserved</x:v>
      </x:c>
      <x:c r="X146" s="4" t="str">
        <x:v>17567738</x:v>
      </x:c>
      <x:c r="Y146" s="14" t="str">
        <x:v>native_revision_pinned_context_shelf</x:v>
      </x:c>
      <x:c r="Z146" s="14" t="str">
        <x:v>https://creativecommons.org/licenses/by-sa/4.0/deed.ro</x:v>
      </x:c>
      <x:c r="AA146" s="14" t="str">
        <x:v>declared_cc_by_sa_4_0</x:v>
      </x:c>
      <x:c r="AB146" s="4" t="str">
        <x:v>local_computed</x:v>
      </x:c>
      <x:c r="AC146" s="14" t="str">
        <x:v>page_topic_reviewed_term_occurrences_require_context_review</x:v>
      </x:c>
      <x:c r="AD146" s="4" t="str">
        <x:v>true</x:v>
      </x:c>
      <x:c r="AE146" s="4" t="str">
        <x:v>true</x:v>
      </x:c>
      <x:c r="AF146" s="4" t="str">
        <x:v>false</x:v>
      </x:c>
      <x:c r="AG146" s="14" t="str">
        <x:v>primary_unique</x:v>
      </x:c>
      <x:c r="AH146" s="25" t="str">
        <x:v>true</x:v>
      </x:c>
      <x:c r="AI146" s="4" t="str">
        <x:v>false</x:v>
      </x:c>
      <x:c r="AJ146" s="4" t="str">
        <x:v>active_source_body</x:v>
      </x:c>
      <x:c r="AK146" s="4" t="str">
        <x:v>true</x:v>
      </x:c>
      <x:c r="AL146" s="4" t="str">
        <x:v>false</x:v>
      </x:c>
      <x:c r="AM146" s="14" t="str"/>
      <x:c r="AN146" s="14" t="str">
        <x:v>not_declared</x:v>
      </x:c>
      <x:c r="AO146" s="4" t="str">
        <x:v>true</x:v>
      </x:c>
      <x:c r="AP146" s="14" t="str"/>
      <x:c r="AQ146" s="4" t="str"/>
    </x:row>
    <x:row r="147" ht="44" customHeight="1">
      <x:c r="A147" s="14" t="str">
        <x:v>WIKIHTML-RO-2608752-17715620</x:v>
      </x:c>
      <x:c r="B147" s="14" t="str">
        <x:v>WIKI-ro-2608752-17715620</x:v>
      </x:c>
      <x:c r="C147" s="4" t="str">
        <x:v>ro</x:v>
      </x:c>
      <x:c r="D147" s="4" t="str">
        <x:v>ro</x:v>
      </x:c>
      <x:c r="E147" s="14" t="str">
        <x:v>standard Romanian</x:v>
      </x:c>
      <x:c r="F147" s="4" t="str">
        <x:v>Romania and Moldova</x:v>
      </x:c>
      <x:c r="G147" s="4" t="str">
        <x:v>Latn</x:v>
      </x:c>
      <x:c r="H147" s="4" t="str"/>
      <x:c r="I147" s="4" t="str"/>
      <x:c r="J147" s="4" t="str"/>
      <x:c r="K147" s="17" t="str"/>
      <x:c r="L147" s="4" t="str">
        <x:v>abstract_algebra</x:v>
      </x:c>
      <x:c r="M147" s="4" t="str">
        <x:v>abstract_algebra;field_theory</x:v>
      </x:c>
      <x:c r="N147" s="14" t="str">
        <x:v>manual_topic_review_20260717</x:v>
      </x:c>
      <x:c r="O147" s="4" t="str">
        <x:v>unresolved_register</x:v>
      </x:c>
      <x:c r="P147" s="14" t="str">
        <x:v>Corp algebric închis</x:v>
      </x:c>
      <x:c r="Q147" s="4" t="str">
        <x:v>html</x:v>
      </x:c>
      <x:c r="R147" s="25" t="str">
        <x:v>164379</x:v>
      </x:c>
      <x:c r="S147" s="4" t="str">
        <x:v>9C7C48919E27E698DC5CEFC8D7A31CDEA58AC25DFF65C0D95A9001D51CAB9464</x:v>
      </x:c>
      <x:c r="T147" s="4" t="str">
        <x:v>975AEC75BEC5A6A38B69A9EA38A92D22D5F5897DDB75BE7B335BF66E4A7127FA</x:v>
      </x:c>
      <x:c r="U147" s="4" t="str">
        <x:v>derived_visible_text</x:v>
      </x:c>
      <x:c r="V147" s="14" t="str">
        <x:v>https://ro.wikipedia.org/w/index.php?curid=2608752&amp;oldid=17715620</x:v>
      </x:c>
      <x:c r="W147" s="14" t="str">
        <x:v>public_http_locator_preserved</x:v>
      </x:c>
      <x:c r="X147" s="4" t="str">
        <x:v>17715620</x:v>
      </x:c>
      <x:c r="Y147" s="14" t="str">
        <x:v>native_revision_pinned_context_shelf</x:v>
      </x:c>
      <x:c r="Z147" s="14" t="str">
        <x:v>https://creativecommons.org/licenses/by-sa/4.0/deed.ro</x:v>
      </x:c>
      <x:c r="AA147" s="14" t="str">
        <x:v>declared_cc_by_sa_4_0</x:v>
      </x:c>
      <x:c r="AB147" s="4" t="str">
        <x:v>local_computed</x:v>
      </x:c>
      <x:c r="AC147" s="14" t="str">
        <x:v>page_topic_reviewed_term_occurrences_require_context_review</x:v>
      </x:c>
      <x:c r="AD147" s="4" t="str">
        <x:v>true</x:v>
      </x:c>
      <x:c r="AE147" s="4" t="str">
        <x:v>true</x:v>
      </x:c>
      <x:c r="AF147" s="4" t="str">
        <x:v>false</x:v>
      </x:c>
      <x:c r="AG147" s="14" t="str">
        <x:v>primary_unique</x:v>
      </x:c>
      <x:c r="AH147" s="25" t="str">
        <x:v>true</x:v>
      </x:c>
      <x:c r="AI147" s="4" t="str">
        <x:v>false</x:v>
      </x:c>
      <x:c r="AJ147" s="4" t="str">
        <x:v>active_source_body</x:v>
      </x:c>
      <x:c r="AK147" s="4" t="str">
        <x:v>true</x:v>
      </x:c>
      <x:c r="AL147" s="4" t="str">
        <x:v>false</x:v>
      </x:c>
      <x:c r="AM147" s="14" t="str"/>
      <x:c r="AN147" s="14" t="str">
        <x:v>not_declared</x:v>
      </x:c>
      <x:c r="AO147" s="4" t="str">
        <x:v>true</x:v>
      </x:c>
      <x:c r="AP147" s="14" t="str"/>
      <x:c r="AQ147" s="4" t="str"/>
    </x:row>
    <x:row r="148" ht="44" customHeight="1">
      <x:c r="A148" s="14" t="str">
        <x:v>WIKIHTML-RO-752864-17640786</x:v>
      </x:c>
      <x:c r="B148" s="14" t="str">
        <x:v>WIKI-ro-752864-17640786</x:v>
      </x:c>
      <x:c r="C148" s="4" t="str">
        <x:v>ro</x:v>
      </x:c>
      <x:c r="D148" s="4" t="str">
        <x:v>ro</x:v>
      </x:c>
      <x:c r="E148" s="14" t="str">
        <x:v>standard Romanian</x:v>
      </x:c>
      <x:c r="F148" s="4" t="str">
        <x:v>Romania and Moldova</x:v>
      </x:c>
      <x:c r="G148" s="4" t="str">
        <x:v>Latn</x:v>
      </x:c>
      <x:c r="H148" s="4" t="str"/>
      <x:c r="I148" s="4" t="str"/>
      <x:c r="J148" s="4" t="str"/>
      <x:c r="K148" s="17" t="str"/>
      <x:c r="L148" s="4" t="str">
        <x:v>abstract_algebra</x:v>
      </x:c>
      <x:c r="M148" s="4" t="str">
        <x:v>abstract_algebra</x:v>
      </x:c>
      <x:c r="N148" s="14" t="str">
        <x:v>manual_topic_review_20260717</x:v>
      </x:c>
      <x:c r="O148" s="4" t="str">
        <x:v>unresolved_register</x:v>
      </x:c>
      <x:c r="P148" s="14" t="str">
        <x:v>Algebră abstractă</x:v>
      </x:c>
      <x:c r="Q148" s="4" t="str">
        <x:v>html</x:v>
      </x:c>
      <x:c r="R148" s="25" t="str">
        <x:v>89653</x:v>
      </x:c>
      <x:c r="S148" s="4" t="str">
        <x:v>12162FD518131272500F81D1FFC458F943729EC5BAF8FA3D30EB36B355E755DD</x:v>
      </x:c>
      <x:c r="T148" s="4" t="str">
        <x:v>0EA6ED84ED9B1F47BC7788F15F04637B586786B1E32ECA1FD0301525122BBAA7</x:v>
      </x:c>
      <x:c r="U148" s="4" t="str">
        <x:v>derived_visible_text</x:v>
      </x:c>
      <x:c r="V148" s="14" t="str">
        <x:v>https://ro.wikipedia.org/w/index.php?curid=752864&amp;oldid=17640786</x:v>
      </x:c>
      <x:c r="W148" s="14" t="str">
        <x:v>public_http_locator_preserved</x:v>
      </x:c>
      <x:c r="X148" s="4" t="str">
        <x:v>17640786</x:v>
      </x:c>
      <x:c r="Y148" s="14" t="str">
        <x:v>native_revision_pinned_context_shelf</x:v>
      </x:c>
      <x:c r="Z148" s="14" t="str">
        <x:v>https://creativecommons.org/licenses/by-sa/4.0/deed.ro</x:v>
      </x:c>
      <x:c r="AA148" s="14" t="str">
        <x:v>declared_cc_by_sa_4_0</x:v>
      </x:c>
      <x:c r="AB148" s="4" t="str">
        <x:v>local_computed</x:v>
      </x:c>
      <x:c r="AC148" s="14" t="str">
        <x:v>page_topic_reviewed_term_occurrences_require_context_review</x:v>
      </x:c>
      <x:c r="AD148" s="4" t="str">
        <x:v>true</x:v>
      </x:c>
      <x:c r="AE148" s="4" t="str">
        <x:v>true</x:v>
      </x:c>
      <x:c r="AF148" s="4" t="str">
        <x:v>false</x:v>
      </x:c>
      <x:c r="AG148" s="14" t="str">
        <x:v>primary_unique</x:v>
      </x:c>
      <x:c r="AH148" s="25" t="str">
        <x:v>true</x:v>
      </x:c>
      <x:c r="AI148" s="4" t="str">
        <x:v>false</x:v>
      </x:c>
      <x:c r="AJ148" s="4" t="str">
        <x:v>active_source_body</x:v>
      </x:c>
      <x:c r="AK148" s="4" t="str">
        <x:v>true</x:v>
      </x:c>
      <x:c r="AL148" s="4" t="str">
        <x:v>false</x:v>
      </x:c>
      <x:c r="AM148" s="14" t="str"/>
      <x:c r="AN148" s="14" t="str">
        <x:v>not_declared</x:v>
      </x:c>
      <x:c r="AO148" s="4" t="str">
        <x:v>true</x:v>
      </x:c>
      <x:c r="AP148" s="14" t="str"/>
      <x:c r="AQ148" s="4" t="str"/>
    </x:row>
    <x:row r="149" ht="44" customHeight="1">
      <x:c r="A149" s="14" t="str">
        <x:v>WIKIHTML-RO-88-17753407</x:v>
      </x:c>
      <x:c r="B149" s="14" t="str">
        <x:v>WIKI-ro-88-17753407</x:v>
      </x:c>
      <x:c r="C149" s="4" t="str">
        <x:v>ro</x:v>
      </x:c>
      <x:c r="D149" s="4" t="str">
        <x:v>ro</x:v>
      </x:c>
      <x:c r="E149" s="14" t="str">
        <x:v>standard Romanian</x:v>
      </x:c>
      <x:c r="F149" s="4" t="str">
        <x:v>Romania and Moldova</x:v>
      </x:c>
      <x:c r="G149" s="4" t="str">
        <x:v>Latn</x:v>
      </x:c>
      <x:c r="H149" s="4" t="str"/>
      <x:c r="I149" s="4" t="str"/>
      <x:c r="J149" s="4" t="str"/>
      <x:c r="K149" s="17" t="str"/>
      <x:c r="L149" s="4" t="str">
        <x:v>mathematics_general</x:v>
      </x:c>
      <x:c r="M149" s="4" t="str">
        <x:v>mathematics_general</x:v>
      </x:c>
      <x:c r="N149" s="14" t="str">
        <x:v>manual_topic_review_20260717</x:v>
      </x:c>
      <x:c r="O149" s="4" t="str">
        <x:v>unresolved_register</x:v>
      </x:c>
      <x:c r="P149" s="14" t="str">
        <x:v>Matematică</x:v>
      </x:c>
      <x:c r="Q149" s="4" t="str">
        <x:v>html</x:v>
      </x:c>
      <x:c r="R149" s="25" t="str">
        <x:v>366279</x:v>
      </x:c>
      <x:c r="S149" s="4" t="str">
        <x:v>D30B7D0638B61BAEA299F1C856CA8127325B5C6C80A911B75F8FD6AE58B75A77</x:v>
      </x:c>
      <x:c r="T149" s="4" t="str">
        <x:v>50E146C5DA38BD8ED1589AA59B9CAC9E18F095C2395AE0C556AE11348C9D8C76</x:v>
      </x:c>
      <x:c r="U149" s="4" t="str">
        <x:v>derived_visible_text</x:v>
      </x:c>
      <x:c r="V149" s="14" t="str">
        <x:v>https://ro.wikipedia.org/w/index.php?curid=88&amp;oldid=17753407</x:v>
      </x:c>
      <x:c r="W149" s="14" t="str">
        <x:v>public_http_locator_preserved</x:v>
      </x:c>
      <x:c r="X149" s="4" t="str">
        <x:v>17753407</x:v>
      </x:c>
      <x:c r="Y149" s="14" t="str">
        <x:v>native_revision_pinned_context_shelf</x:v>
      </x:c>
      <x:c r="Z149" s="14" t="str">
        <x:v>https://creativecommons.org/licenses/by-sa/4.0/deed.ro</x:v>
      </x:c>
      <x:c r="AA149" s="14" t="str">
        <x:v>declared_cc_by_sa_4_0</x:v>
      </x:c>
      <x:c r="AB149" s="4" t="str">
        <x:v>local_computed</x:v>
      </x:c>
      <x:c r="AC149" s="14" t="str">
        <x:v>page_topic_reviewed_term_occurrences_require_context_review</x:v>
      </x:c>
      <x:c r="AD149" s="4" t="str">
        <x:v>true</x:v>
      </x:c>
      <x:c r="AE149" s="4" t="str">
        <x:v>true</x:v>
      </x:c>
      <x:c r="AF149" s="4" t="str">
        <x:v>false</x:v>
      </x:c>
      <x:c r="AG149" s="14" t="str">
        <x:v>primary_unique</x:v>
      </x:c>
      <x:c r="AH149" s="25" t="str">
        <x:v>true</x:v>
      </x:c>
      <x:c r="AI149" s="4" t="str">
        <x:v>false</x:v>
      </x:c>
      <x:c r="AJ149" s="4" t="str">
        <x:v>active_source_body</x:v>
      </x:c>
      <x:c r="AK149" s="4" t="str">
        <x:v>true</x:v>
      </x:c>
      <x:c r="AL149" s="4" t="str">
        <x:v>false</x:v>
      </x:c>
      <x:c r="AM149" s="14" t="str"/>
      <x:c r="AN149" s="14" t="str">
        <x:v>not_declared</x:v>
      </x:c>
      <x:c r="AO149" s="4" t="str">
        <x:v>false</x:v>
      </x:c>
      <x:c r="AP149" s="14" t="str"/>
      <x:c r="AQ149" s="4" t="str"/>
    </x:row>
    <x:row r="150" ht="44" customHeight="1">
      <x:c r="A150" s="14" t="str">
        <x:v>CURATED-RM-MULTI-GRCH-LP21-GLOSSARI-2017</x:v>
      </x:c>
      <x:c r="B150" s="14" t="str">
        <x:v>GRCH-LP21-GLOSSARI-RG-VAL-SURS-2017</x:v>
      </x:c>
      <x:c r="C150" s="4" t="str">
        <x:v>rm</x:v>
      </x:c>
      <x:c r="D150" s="4" t="str">
        <x:v>rm-rg+rm-vallader+rm-sursilvan</x:v>
      </x:c>
      <x:c r="E150" s="14" t="str">
        <x:v>official crosswalk: Rumantsch Grischun; Vallader; Sursilvan</x:v>
      </x:c>
      <x:c r="F150" s="4" t="str">
        <x:v>Graubünden Switzerland</x:v>
      </x:c>
      <x:c r="G150" s="4" t="str">
        <x:v>Latn</x:v>
      </x:c>
      <x:c r="H150" s="4" t="str">
        <x:v>de</x:v>
      </x:c>
      <x:c r="I150" s="4" t="str">
        <x:v>Canton of Graubünden Office for Primary Education and Sport</x:v>
      </x:c>
      <x:c r="J150" s="4" t="str">
        <x:v>2017</x:v>
      </x:c>
      <x:c r="K150" s="17" t="n">
        <x:v>46220.89822916667</x:v>
      </x:c>
      <x:c r="L150" s="4" t="str">
        <x:v>mathematics_education_lexicography</x:v>
      </x:c>
      <x:c r="M150" s="4" t="str">
        <x:v>mathematics_education;school_math_terminology;lexicography</x:v>
      </x:c>
      <x:c r="N150" s="14" t="str">
        <x:v>manual_full_document_and_selected_row_review_20260717</x:v>
      </x:c>
      <x:c r="O150" s="4" t="str">
        <x:v>official_school_math_terminology_crosswalk</x:v>
      </x:c>
      <x:c r="P150" s="14" t="str">
        <x:v>Plan d'instrucziun 21 GR: Glossari tudestg – rumantsch grischun – vallader – sursilvan</x:v>
      </x:c>
      <x:c r="Q150" s="4" t="str">
        <x:v>pdf</x:v>
      </x:c>
      <x:c r="R150" s="25" t="str">
        <x:v>377536</x:v>
      </x:c>
      <x:c r="S150" s="4" t="str">
        <x:v>B5CC0582562A8867C2BE5DA59FF1B80648017570C618D69AC10F3A399C69B78C</x:v>
      </x:c>
      <x:c r="T150" s="4" t="str">
        <x:v>EC779C03A795F02190872ABC27549ADB33F2169FBE0022091172C0BF99DF33E1</x:v>
      </x:c>
      <x:c r="U150" s="4" t="str">
        <x:v>derived_visible_text_layout_preserving</x:v>
      </x:c>
      <x:c r="V150" s="14" t="str">
        <x:v>https://www.gr.ch/DE/institutionen/verwaltung/ekud/avs/Volksschule/Lehrplan21_Glossari_rom_rm.pdf</x:v>
      </x:c>
      <x:c r="W150" s="14" t="str">
        <x:v>public_http_locator_preserved</x:v>
      </x:c>
      <x:c r="X150" s="4" t="str">
        <x:v>http_last_modified_2017-11-03</x:v>
      </x:c>
      <x:c r="Y150" s="14" t="str">
        <x:v>official_school_math_lexical_reference_not_running_body</x:v>
      </x:c>
      <x:c r="Z150" s="14" t="str">
        <x:v>Official publicly downloadable cantonal PDF; no explicit reuse license located</x:v>
      </x:c>
      <x:c r="AA150" s="14" t="str">
        <x:v>copyright_status_unresolved_no_explicit_reuse_grant</x:v>
      </x:c>
      <x:c r="AB150" s="4" t="str">
        <x:v>match</x:v>
      </x:c>
      <x:c r="AC150" s="14" t="str">
        <x:v>30_exact_math_rows_selected_no_core_form_promotion</x:v>
      </x:c>
      <x:c r="AD150" s="4" t="str">
        <x:v>true</x:v>
      </x:c>
      <x:c r="AE150" s="4" t="str">
        <x:v>true</x:v>
      </x:c>
      <x:c r="AF150" s="4" t="str">
        <x:v>false</x:v>
      </x:c>
      <x:c r="AG150" s="14" t="str">
        <x:v>primary_unique</x:v>
      </x:c>
      <x:c r="AH150" s="25" t="str">
        <x:v>true</x:v>
      </x:c>
      <x:c r="AI150" s="4" t="str">
        <x:v>false</x:v>
      </x:c>
      <x:c r="AJ150" s="4" t="str">
        <x:v>official_lexical_reference</x:v>
      </x:c>
      <x:c r="AK150" s="4" t="str">
        <x:v>false</x:v>
      </x:c>
      <x:c r="AL150" s="4" t="str">
        <x:v>true</x:v>
      </x:c>
      <x:c r="AM150" s="14" t="str"/>
      <x:c r="AN150" s="14" t="str">
        <x:v>not_declared</x:v>
      </x:c>
      <x:c r="AO150" s="4" t="str">
        <x:v>false</x:v>
      </x:c>
      <x:c r="AP150" s="14" t="str"/>
      <x:c r="AQ150" s="4" t="str"/>
    </x:row>
    <x:row r="151" ht="44" customHeight="1">
      <x:c r="A151" s="14" t="str">
        <x:v>CURATED-GRCH-AP25-1G-M1-RG</x:v>
      </x:c>
      <x:c r="B151" s="14" t="str">
        <x:v>CURATED-GRCH-AP25-1G-M1-RG</x:v>
      </x:c>
      <x:c r="C151" s="4" t="str">
        <x:v>rm</x:v>
      </x:c>
      <x:c r="D151" s="4" t="str">
        <x:v>rm-rg</x:v>
      </x:c>
      <x:c r="E151" s="14" t="str">
        <x:v>Rumantsch Grischun</x:v>
      </x:c>
      <x:c r="F151" s="4" t="str">
        <x:v>Graubünden, Switzerland</x:v>
      </x:c>
      <x:c r="G151" s="4" t="str">
        <x:v>Latn</x:v>
      </x:c>
      <x:c r="H151" s="4" t="str">
        <x:v>de</x:v>
      </x:c>
      <x:c r="I151" s="4" t="str">
        <x:v>Canton of Graubünden, Office for Higher Education</x:v>
      </x:c>
      <x:c r="J151" s="4" t="str">
        <x:v>2025</x:v>
      </x:c>
      <x:c r="K151" s="17" t="n">
        <x:v>46221.4391615625</x:v>
      </x:c>
      <x:c r="L151" s="4" t="str">
        <x:v>mathematics_education</x:v>
      </x:c>
      <x:c r="M151" s="4" t="str">
        <x:v>arithmetic;fractions;measurement;proportional_reasoning;coordinate_geometry;symmetry;word_problems;solution_register</x:v>
      </x:c>
      <x:c r="N151" s="14" t="str">
        <x:v>manual full-text and specialist-keyword review plus visual review of PDF pages 1, 4, 8, 14, and 15 on 2026-07-18</x:v>
      </x:c>
      <x:c r="O151" s="4" t="str">
        <x:v>secondary_school_admissions_exam</x:v>
      </x:c>
      <x:c r="P151" s="14" t="str">
        <x:v>Matematica part 1 – quints en scrit (rumantsch grischun)</x:v>
      </x:c>
      <x:c r="Q151" s="4" t="str">
        <x:v>pdf</x:v>
      </x:c>
      <x:c r="R151" s="25" t="str">
        <x:v>1987902</x:v>
      </x:c>
      <x:c r="S151" s="4" t="str">
        <x:v>7DCA8FEC25F5D998A67BFE266288A9839727BBD9E2EF396DA682C5A550DFAAFB</x:v>
      </x:c>
      <x:c r="T151" s="4" t="str">
        <x:v>38677B2E15DA35A172FA770E1A994A6B1B761467FFF3731AE2C57DAF60D0790D</x:v>
      </x:c>
      <x:c r="U151" s="4" t="str">
        <x:v>derived_visible_text_layout_preserving</x:v>
      </x:c>
      <x:c r="V151" s="14" t="str">
        <x:v>https://www.gr.ch/DE/institutionen/verwaltung/ekud/ahb/mittelschulen/dienstleistungen/aufnahmepruefungen/pruefung1g/pruefungsbeispiele1gym/Documents/AP25_1G_M1_RG.pdf</x:v>
      </x:c>
      <x:c r="W151" s="14" t="str">
        <x:v>public_http_locator_preserved</x:v>
      </x:c>
      <x:c r="X151" s="4" t="str">
        <x:v>http_last_modified_Tue, 22 Jul 2025 06:47:04 GMT</x:v>
      </x:c>
      <x:c r="Y151" s="14" t="str">
        <x:v>native_official_bilingual_general_school_mathematics_body</x:v>
      </x:c>
      <x:c r="Z151" s="14" t="str">
        <x:v>Official publicly accessible cantonal examination PDF; the source page carries a Canton copyright footer and no explicit reuse grant was located.</x:v>
      </x:c>
      <x:c r="AA151" s="14" t="str">
        <x:v>unresolved_no_explicit_reuse_grant</x:v>
      </x:c>
      <x:c r="AB151" s="4" t="str">
        <x:v>match</x:v>
      </x:c>
      <x:c r="AC151" s="14" t="str">
        <x:v>manual_full_document_domain_review_no_term_promotion</x:v>
      </x:c>
      <x:c r="AD151" s="4" t="str">
        <x:v>true</x:v>
      </x:c>
      <x:c r="AE151" s="4" t="str">
        <x:v>true</x:v>
      </x:c>
      <x:c r="AF151" s="4" t="str">
        <x:v>false</x:v>
      </x:c>
      <x:c r="AG151" s="14" t="str">
        <x:v>primary_unique</x:v>
      </x:c>
      <x:c r="AH151" s="25" t="str">
        <x:v>true</x:v>
      </x:c>
      <x:c r="AI151" s="4" t="str">
        <x:v>false</x:v>
      </x:c>
      <x:c r="AJ151" s="4" t="str">
        <x:v>active_source_body</x:v>
      </x:c>
      <x:c r="AK151" s="4" t="str">
        <x:v>true</x:v>
      </x:c>
      <x:c r="AL151" s="4" t="str">
        <x:v>false</x:v>
      </x:c>
      <x:c r="AM151" s="14" t="str">
        <x:v>GRCH-AP25-1G-M1</x:v>
      </x:c>
      <x:c r="AN151" s="14" t="str">
        <x:v>branch_specific_official_translation_sibling_unique_within_route</x:v>
      </x:c>
      <x:c r="AO151" s="4" t="str">
        <x:v>false</x:v>
      </x:c>
      <x:c r="AP151" s="14" t="str">
        <x:v>GRCH-AP25-1G-M1-RG</x:v>
      </x:c>
      <x:c r="AQ151" s="4" t="str">
        <x:v>810DAF94776AEDE5134EA7DCB8C293F23CB0A568F7AC2F6F6F83CE3089C56949</x:v>
      </x:c>
    </x:row>
    <x:row r="152" ht="44" customHeight="1">
      <x:c r="A152" s="14" t="str">
        <x:v>CURATED-GRCH-AP25-1G-M1-PUT</x:v>
      </x:c>
      <x:c r="B152" s="14" t="str">
        <x:v>CURATED-GRCH-AP25-1G-M1-PUT</x:v>
      </x:c>
      <x:c r="C152" s="4" t="str">
        <x:v>rm</x:v>
      </x:c>
      <x:c r="D152" s="4" t="str">
        <x:v>rm-puter</x:v>
      </x:c>
      <x:c r="E152" s="14" t="str">
        <x:v>Putèr (source spells the label "puter")</x:v>
      </x:c>
      <x:c r="F152" s="4" t="str">
        <x:v>Graubünden, Switzerland</x:v>
      </x:c>
      <x:c r="G152" s="4" t="str">
        <x:v>Latn</x:v>
      </x:c>
      <x:c r="H152" s="4" t="str">
        <x:v>de</x:v>
      </x:c>
      <x:c r="I152" s="4" t="str">
        <x:v>Canton of Graubünden, Office for Higher Education</x:v>
      </x:c>
      <x:c r="J152" s="4" t="str">
        <x:v>2025</x:v>
      </x:c>
      <x:c r="K152" s="17" t="n">
        <x:v>46221.439167627315</x:v>
      </x:c>
      <x:c r="L152" s="4" t="str">
        <x:v>mathematics_education</x:v>
      </x:c>
      <x:c r="M152" s="4" t="str">
        <x:v>arithmetic;fractions;measurement;proportional_reasoning;coordinate_geometry;symmetry;word_problems;solution_register</x:v>
      </x:c>
      <x:c r="N152" s="14" t="str">
        <x:v>manual full-text and specialist-keyword review plus visual review of PDF pages 1, 4, 8, 14, and 15 on 2026-07-18</x:v>
      </x:c>
      <x:c r="O152" s="4" t="str">
        <x:v>secondary_school_admissions_exam</x:v>
      </x:c>
      <x:c r="P152" s="14" t="str">
        <x:v>Matematica part 1 – quints in scrit (puter)</x:v>
      </x:c>
      <x:c r="Q152" s="4" t="str">
        <x:v>pdf</x:v>
      </x:c>
      <x:c r="R152" s="25" t="str">
        <x:v>1699194</x:v>
      </x:c>
      <x:c r="S152" s="4" t="str">
        <x:v>4DD18B1E1EB2E254E1F61F6B4C4E58AC8BAC8E76B4B2A8F061065858BD7BA72F</x:v>
      </x:c>
      <x:c r="T152" s="4" t="str">
        <x:v>257AE75C77D12097DC3654997A58D362AB6B4925C94C560BA8B8E0EDD2721EC8</x:v>
      </x:c>
      <x:c r="U152" s="4" t="str">
        <x:v>derived_visible_text_layout_preserving</x:v>
      </x:c>
      <x:c r="V152" s="14" t="str">
        <x:v>https://www.gr.ch/DE/institutionen/verwaltung/ekud/ahb/mittelschulen/dienstleistungen/aufnahmepruefungen/pruefung1g/pruefungsbeispiele1gym/Documents/AP25_1G_M1_put.pdf</x:v>
      </x:c>
      <x:c r="W152" s="14" t="str">
        <x:v>public_http_locator_preserved</x:v>
      </x:c>
      <x:c r="X152" s="4" t="str">
        <x:v>http_last_modified_Tue, 22 Jul 2025 06:47:04 GMT</x:v>
      </x:c>
      <x:c r="Y152" s="14" t="str">
        <x:v>native_official_bilingual_general_school_mathematics_body</x:v>
      </x:c>
      <x:c r="Z152" s="14" t="str">
        <x:v>Official publicly accessible cantonal examination PDF; the source page carries a Canton copyright footer and no explicit reuse grant was located.</x:v>
      </x:c>
      <x:c r="AA152" s="14" t="str">
        <x:v>unresolved_no_explicit_reuse_grant</x:v>
      </x:c>
      <x:c r="AB152" s="4" t="str">
        <x:v>match</x:v>
      </x:c>
      <x:c r="AC152" s="14" t="str">
        <x:v>manual_full_document_domain_review_no_term_promotion</x:v>
      </x:c>
      <x:c r="AD152" s="4" t="str">
        <x:v>true</x:v>
      </x:c>
      <x:c r="AE152" s="4" t="str">
        <x:v>true</x:v>
      </x:c>
      <x:c r="AF152" s="4" t="str">
        <x:v>false</x:v>
      </x:c>
      <x:c r="AG152" s="14" t="str">
        <x:v>primary_unique</x:v>
      </x:c>
      <x:c r="AH152" s="25" t="str">
        <x:v>true</x:v>
      </x:c>
      <x:c r="AI152" s="4" t="str">
        <x:v>false</x:v>
      </x:c>
      <x:c r="AJ152" s="4" t="str">
        <x:v>active_source_body</x:v>
      </x:c>
      <x:c r="AK152" s="4" t="str">
        <x:v>true</x:v>
      </x:c>
      <x:c r="AL152" s="4" t="str">
        <x:v>false</x:v>
      </x:c>
      <x:c r="AM152" s="14" t="str">
        <x:v>GRCH-AP25-1G-M1</x:v>
      </x:c>
      <x:c r="AN152" s="14" t="str">
        <x:v>branch_specific_official_translation_sibling_unique_within_route</x:v>
      </x:c>
      <x:c r="AO152" s="4" t="str">
        <x:v>false</x:v>
      </x:c>
      <x:c r="AP152" s="14" t="str">
        <x:v>GRCH-AP25-1G-M1-PUT</x:v>
      </x:c>
      <x:c r="AQ152" s="4" t="str">
        <x:v>810DAF94776AEDE5134EA7DCB8C293F23CB0A568F7AC2F6F6F83CE3089C56949</x:v>
      </x:c>
    </x:row>
    <x:row r="153" ht="44" customHeight="1">
      <x:c r="A153" s="14" t="str">
        <x:v>CURATED-GRCH-AP25-1G-M1-SURS</x:v>
      </x:c>
      <x:c r="B153" s="14" t="str">
        <x:v>CURATED-GRCH-AP25-1G-M1-SURS</x:v>
      </x:c>
      <x:c r="C153" s="4" t="str">
        <x:v>rm</x:v>
      </x:c>
      <x:c r="D153" s="4" t="str">
        <x:v>rm-sursilvan</x:v>
      </x:c>
      <x:c r="E153" s="14" t="str">
        <x:v>Sursilvan</x:v>
      </x:c>
      <x:c r="F153" s="4" t="str">
        <x:v>Graubünden, Switzerland</x:v>
      </x:c>
      <x:c r="G153" s="4" t="str">
        <x:v>Latn</x:v>
      </x:c>
      <x:c r="H153" s="4" t="str">
        <x:v>de</x:v>
      </x:c>
      <x:c r="I153" s="4" t="str">
        <x:v>Canton of Graubünden, Office for Higher Education</x:v>
      </x:c>
      <x:c r="J153" s="4" t="str">
        <x:v>2025</x:v>
      </x:c>
      <x:c r="K153" s="17" t="n">
        <x:v>46221.43917292824</x:v>
      </x:c>
      <x:c r="L153" s="4" t="str">
        <x:v>mathematics_education</x:v>
      </x:c>
      <x:c r="M153" s="4" t="str">
        <x:v>arithmetic;fractions;measurement;proportional_reasoning;coordinate_geometry;symmetry;word_problems;solution_register</x:v>
      </x:c>
      <x:c r="N153" s="14" t="str">
        <x:v>manual full-text and specialist-keyword review plus visual review of PDF pages 1, 4, 8, 14, and 15 on 2026-07-18</x:v>
      </x:c>
      <x:c r="O153" s="4" t="str">
        <x:v>secondary_school_admissions_exam</x:v>
      </x:c>
      <x:c r="P153" s="14" t="str">
        <x:v>Matematica part 1 – quens en scret (sursilvan)</x:v>
      </x:c>
      <x:c r="Q153" s="4" t="str">
        <x:v>pdf</x:v>
      </x:c>
      <x:c r="R153" s="25" t="str">
        <x:v>1621152</x:v>
      </x:c>
      <x:c r="S153" s="4" t="str">
        <x:v>61C80C8AF9D1185C94951E68B6498624665DE8E9AC9DC4A46FBEDD2A924195AF</x:v>
      </x:c>
      <x:c r="T153" s="4" t="str">
        <x:v>55D8097E113FAC7C737895DC473916BD8416C5DB85D9EE1B454950DF23AE8530</x:v>
      </x:c>
      <x:c r="U153" s="4" t="str">
        <x:v>derived_visible_text_layout_preserving</x:v>
      </x:c>
      <x:c r="V153" s="14" t="str">
        <x:v>https://www.gr.ch/DE/institutionen/verwaltung/ekud/ahb/mittelschulen/dienstleistungen/aufnahmepruefungen/pruefung1g/pruefungsbeispiele1gym/Documents/AP25_1G_M1_surs.pdf</x:v>
      </x:c>
      <x:c r="W153" s="14" t="str">
        <x:v>public_http_locator_preserved</x:v>
      </x:c>
      <x:c r="X153" s="4" t="str">
        <x:v>http_last_modified_Tue, 22 Jul 2025 06:47:04 GMT</x:v>
      </x:c>
      <x:c r="Y153" s="14" t="str">
        <x:v>native_official_bilingual_general_school_mathematics_body</x:v>
      </x:c>
      <x:c r="Z153" s="14" t="str">
        <x:v>Official publicly accessible cantonal examination PDF; the source page carries a Canton copyright footer and no explicit reuse grant was located.</x:v>
      </x:c>
      <x:c r="AA153" s="14" t="str">
        <x:v>unresolved_no_explicit_reuse_grant</x:v>
      </x:c>
      <x:c r="AB153" s="4" t="str">
        <x:v>match</x:v>
      </x:c>
      <x:c r="AC153" s="14" t="str">
        <x:v>manual_full_document_domain_review_no_term_promotion</x:v>
      </x:c>
      <x:c r="AD153" s="4" t="str">
        <x:v>true</x:v>
      </x:c>
      <x:c r="AE153" s="4" t="str">
        <x:v>true</x:v>
      </x:c>
      <x:c r="AF153" s="4" t="str">
        <x:v>false</x:v>
      </x:c>
      <x:c r="AG153" s="14" t="str">
        <x:v>primary_unique</x:v>
      </x:c>
      <x:c r="AH153" s="25" t="str">
        <x:v>true</x:v>
      </x:c>
      <x:c r="AI153" s="4" t="str">
        <x:v>false</x:v>
      </x:c>
      <x:c r="AJ153" s="4" t="str">
        <x:v>active_source_body</x:v>
      </x:c>
      <x:c r="AK153" s="4" t="str">
        <x:v>true</x:v>
      </x:c>
      <x:c r="AL153" s="4" t="str">
        <x:v>false</x:v>
      </x:c>
      <x:c r="AM153" s="14" t="str">
        <x:v>GRCH-AP25-1G-M1</x:v>
      </x:c>
      <x:c r="AN153" s="14" t="str">
        <x:v>branch_specific_official_translation_sibling_unique_within_route</x:v>
      </x:c>
      <x:c r="AO153" s="4" t="str">
        <x:v>false</x:v>
      </x:c>
      <x:c r="AP153" s="14" t="str">
        <x:v>GRCH-AP25-1G-M1-SURS</x:v>
      </x:c>
      <x:c r="AQ153" s="4" t="str">
        <x:v>810DAF94776AEDE5134EA7DCB8C293F23CB0A568F7AC2F6F6F83CE3089C56949</x:v>
      </x:c>
    </x:row>
    <x:row r="154" ht="44" customHeight="1">
      <x:c r="A154" s="14" t="str">
        <x:v>CURATED-GRCH-AP25-1G-M1-VALL</x:v>
      </x:c>
      <x:c r="B154" s="14" t="str">
        <x:v>CURATED-GRCH-AP25-1G-M1-VALL</x:v>
      </x:c>
      <x:c r="C154" s="4" t="str">
        <x:v>rm</x:v>
      </x:c>
      <x:c r="D154" s="4" t="str">
        <x:v>rm-vallader</x:v>
      </x:c>
      <x:c r="E154" s="14" t="str">
        <x:v>Vallader</x:v>
      </x:c>
      <x:c r="F154" s="4" t="str">
        <x:v>Graubünden, Switzerland</x:v>
      </x:c>
      <x:c r="G154" s="4" t="str">
        <x:v>Latn</x:v>
      </x:c>
      <x:c r="H154" s="4" t="str">
        <x:v>de</x:v>
      </x:c>
      <x:c r="I154" s="4" t="str">
        <x:v>Canton of Graubünden, Office for Higher Education</x:v>
      </x:c>
      <x:c r="J154" s="4" t="str">
        <x:v>2025</x:v>
      </x:c>
      <x:c r="K154" s="17" t="n">
        <x:v>46221.43917799769</x:v>
      </x:c>
      <x:c r="L154" s="4" t="str">
        <x:v>mathematics_education</x:v>
      </x:c>
      <x:c r="M154" s="4" t="str">
        <x:v>arithmetic;fractions;measurement;proportional_reasoning;coordinate_geometry;symmetry;word_problems;solution_register</x:v>
      </x:c>
      <x:c r="N154" s="14" t="str">
        <x:v>manual full-text and specialist-keyword review plus visual review of PDF pages 1, 4, 8, 14, and 15 on 2026-07-18</x:v>
      </x:c>
      <x:c r="O154" s="4" t="str">
        <x:v>secondary_school_admissions_exam</x:v>
      </x:c>
      <x:c r="P154" s="14" t="str">
        <x:v>Matematica part 1 – quints in scrit (vallader)</x:v>
      </x:c>
      <x:c r="Q154" s="4" t="str">
        <x:v>pdf</x:v>
      </x:c>
      <x:c r="R154" s="25" t="str">
        <x:v>1679743</x:v>
      </x:c>
      <x:c r="S154" s="4" t="str">
        <x:v>694BEC2AF4915BAECC8AEE05C7F446CF1445C4EB918CD52C66B2C199214B2291</x:v>
      </x:c>
      <x:c r="T154" s="4" t="str">
        <x:v>0E505245615A9EF41239FEFCEE5F9E2DA1D98044B4341DDD41CD9D759664F1D3</x:v>
      </x:c>
      <x:c r="U154" s="4" t="str">
        <x:v>derived_visible_text_layout_preserving</x:v>
      </x:c>
      <x:c r="V154" s="14" t="str">
        <x:v>https://www.gr.ch/DE/institutionen/verwaltung/ekud/ahb/mittelschulen/dienstleistungen/aufnahmepruefungen/pruefung1g/pruefungsbeispiele1gym/Documents/AP25_1G_M1_vall.pdf</x:v>
      </x:c>
      <x:c r="W154" s="14" t="str">
        <x:v>public_http_locator_preserved</x:v>
      </x:c>
      <x:c r="X154" s="4" t="str">
        <x:v>http_last_modified_Tue, 22 Jul 2025 06:47:04 GMT</x:v>
      </x:c>
      <x:c r="Y154" s="14" t="str">
        <x:v>native_official_bilingual_general_school_mathematics_body</x:v>
      </x:c>
      <x:c r="Z154" s="14" t="str">
        <x:v>Official publicly accessible cantonal examination PDF; the source page carries a Canton copyright footer and no explicit reuse grant was located.</x:v>
      </x:c>
      <x:c r="AA154" s="14" t="str">
        <x:v>unresolved_no_explicit_reuse_grant</x:v>
      </x:c>
      <x:c r="AB154" s="4" t="str">
        <x:v>match</x:v>
      </x:c>
      <x:c r="AC154" s="14" t="str">
        <x:v>manual_full_document_domain_review_no_term_promotion</x:v>
      </x:c>
      <x:c r="AD154" s="4" t="str">
        <x:v>true</x:v>
      </x:c>
      <x:c r="AE154" s="4" t="str">
        <x:v>true</x:v>
      </x:c>
      <x:c r="AF154" s="4" t="str">
        <x:v>false</x:v>
      </x:c>
      <x:c r="AG154" s="14" t="str">
        <x:v>primary_unique</x:v>
      </x:c>
      <x:c r="AH154" s="25" t="str">
        <x:v>true</x:v>
      </x:c>
      <x:c r="AI154" s="4" t="str">
        <x:v>false</x:v>
      </x:c>
      <x:c r="AJ154" s="4" t="str">
        <x:v>active_source_body</x:v>
      </x:c>
      <x:c r="AK154" s="4" t="str">
        <x:v>true</x:v>
      </x:c>
      <x:c r="AL154" s="4" t="str">
        <x:v>false</x:v>
      </x:c>
      <x:c r="AM154" s="14" t="str">
        <x:v>GRCH-AP25-1G-M1</x:v>
      </x:c>
      <x:c r="AN154" s="14" t="str">
        <x:v>branch_specific_official_translation_sibling_unique_within_route</x:v>
      </x:c>
      <x:c r="AO154" s="4" t="str">
        <x:v>false</x:v>
      </x:c>
      <x:c r="AP154" s="14" t="str">
        <x:v>GRCH-AP25-1G-M1-VALL</x:v>
      </x:c>
      <x:c r="AQ154" s="4" t="str">
        <x:v>810DAF94776AEDE5134EA7DCB8C293F23CB0A568F7AC2F6F6F83CE3089C56949</x:v>
      </x:c>
    </x:row>
  </x:sheetData>
  <x:pageMargins left="0.7" right="0.7" top="0.75" bottom="0.75" header="0.3" footer="0.3"/>
  <x:tableParts count="1">
    <x:tablePart xmlns:r="http://schemas.openxmlformats.org/officeDocument/2006/relationships" r:id="R2eed55f41a3149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16" hidden="0" customWidth="1"/>
    <x:col min="12" max="12" width="30" hidden="0" customWidth="1"/>
    <x:col min="13" max="13" width="16" hidden="0" customWidth="1"/>
    <x:col min="14" max="14" width="16" hidden="0" customWidth="1"/>
    <x:col min="15" max="15" width="30" hidden="0" customWidth="1"/>
    <x:col min="16" max="16" width="13" hidden="0" customWidth="1"/>
    <x:col min="17" max="17" width="13" hidden="0" customWidth="1"/>
    <x:col min="18" max="18" width="30" hidden="0" customWidth="1"/>
    <x:col min="19" max="19" width="20" hidden="0" customWidth="1"/>
    <x:col min="20" max="20" width="13" hidden="0" customWidth="1"/>
    <x:col min="21" max="21" width="13" hidden="0" customWidth="1"/>
    <x:col min="22" max="22" width="13" hidden="0" customWidth="1"/>
    <x:col min="23" max="23" width="16" hidden="0" customWidth="1"/>
    <x:col min="24" max="24" width="30" hidden="0" customWidth="1"/>
    <x:col min="25" max="25" width="30" hidden="0" customWidth="1"/>
    <x:col min="26" max="26" width="19" hidden="0" customWidth="1"/>
    <x:col min="27" max="27" width="30" hidden="0" customWidth="1"/>
    <x:col min="28" max="28" width="13" hidden="0" customWidth="1"/>
    <x:col min="29" max="29" width="13" hidden="0" customWidth="1"/>
    <x:col min="30" max="30" width="14" hidden="0" customWidth="1"/>
    <x:col min="31" max="31" width="30" hidden="0" customWidth="1"/>
    <x:col min="32" max="32" width="16" hidden="0" customWidth="1"/>
    <x:col min="33" max="33" width="13" hidden="0" customWidth="1"/>
    <x:col min="34" max="34" width="13" hidden="0" customWidth="1"/>
    <x:col min="35" max="35" width="20" hidden="0" customWidth="1"/>
    <x:col min="36" max="36" width="30" hidden="0" customWidth="1"/>
  </x:cols>
  <x:sheetData>
    <x:row r="1" ht="32" customHeight="1">
      <x:c r="A1" s="12" t="str">
        <x:v>route_id</x:v>
      </x:c>
      <x:c r="B1" s="12" t="str">
        <x:v>variety_code</x:v>
      </x:c>
      <x:c r="C1" s="12" t="str">
        <x:v>variety_name</x:v>
      </x:c>
      <x:c r="D1" s="12" t="str">
        <x:v>macrobranch</x:v>
      </x:c>
      <x:c r="E1" s="12" t="str">
        <x:v>subbranch</x:v>
      </x:c>
      <x:c r="F1" s="12" t="str">
        <x:v>standard_or_idiom</x:v>
      </x:c>
      <x:c r="G1" s="12" t="str">
        <x:v>region</x:v>
      </x:c>
      <x:c r="H1" s="12" t="str">
        <x:v>script</x:v>
      </x:c>
      <x:c r="I1" s="12" t="str">
        <x:v>scope_status</x:v>
      </x:c>
      <x:c r="J1" s="12" t="str">
        <x:v>corpus_language_key</x:v>
      </x:c>
      <x:c r="K1" s="12" t="str">
        <x:v>source_queue</x:v>
      </x:c>
      <x:c r="L1" s="12" t="str">
        <x:v>gap_reason</x:v>
      </x:c>
      <x:c r="M1" s="12" t="str">
        <x:v>cohort_route</x:v>
      </x:c>
      <x:c r="N1" s="12" t="str">
        <x:v>dominant_standard_not_proxy</x:v>
      </x:c>
      <x:c r="O1" s="12" t="str">
        <x:v>notes</x:v>
      </x:c>
      <x:c r="P1" s="24" t="str">
        <x:v>current_active_body_count</x:v>
      </x:c>
      <x:c r="Q1" s="24" t="str">
        <x:v>current_active_bytes</x:v>
      </x:c>
      <x:c r="R1" s="12" t="str">
        <x:v>current_domains</x:v>
      </x:c>
      <x:c r="S1" s="12" t="str">
        <x:v>current_source_ids</x:v>
      </x:c>
      <x:c r="T1" s="24" t="str">
        <x:v>current_general_school_math_body_count</x:v>
      </x:c>
      <x:c r="U1" s="24" t="str">
        <x:v>current_specialist_algebra_body_count</x:v>
      </x:c>
      <x:c r="V1" s="24" t="str">
        <x:v>inherited_form_attestation_count</x:v>
      </x:c>
      <x:c r="W1" s="12" t="str">
        <x:v>inherited_forms_are_corpus_attestation</x:v>
      </x:c>
      <x:c r="X1" s="12" t="str">
        <x:v>current_license_status</x:v>
      </x:c>
      <x:c r="Y1" s="12" t="str">
        <x:v>evidence_status</x:v>
      </x:c>
      <x:c r="Z1" s="12" t="str">
        <x:v>corpus_manifest_sha256</x:v>
      </x:c>
      <x:c r="AA1" s="12" t="str">
        <x:v>review_status</x:v>
      </x:c>
      <x:c r="AB1" s="24" t="str">
        <x:v>official_lexical_reference_source_count</x:v>
      </x:c>
      <x:c r="AC1" s="24" t="str">
        <x:v>official_lexical_reference_record_count</x:v>
      </x:c>
      <x:c r="AD1" s="12" t="str">
        <x:v>official_lexical_reference_source_ids</x:v>
      </x:c>
      <x:c r="AE1" s="12" t="str">
        <x:v>official_lexical_reference_license_status</x:v>
      </x:c>
      <x:c r="AF1" s="12" t="str">
        <x:v>lexical_reference_only_not_body</x:v>
      </x:c>
      <x:c r="AG1" s="24" t="str">
        <x:v>translation_family_count</x:v>
      </x:c>
      <x:c r="AH1" s="24" t="str">
        <x:v>official_translation_sibling_body_count</x:v>
      </x:c>
      <x:c r="AI1" s="12" t="str">
        <x:v>latest_acquisition_intake_source_ids</x:v>
      </x:c>
      <x:c r="AJ1" s="12" t="str">
        <x:v>specialist_algebra_gap_status</x:v>
      </x:c>
    </x:row>
    <x:row r="2" ht="46" customHeight="1">
      <x:c r="A2" s="14" t="str">
        <x:v>R001</x:v>
      </x:c>
      <x:c r="B2" s="4" t="str">
        <x:v>es</x:v>
      </x:c>
      <x:c r="C2" s="4" t="str">
        <x:v>Spanish</x:v>
      </x:c>
      <x:c r="D2" s="4" t="str">
        <x:v>Western Romance</x:v>
      </x:c>
      <x:c r="E2" s="4" t="str">
        <x:v>Ibero-Romance</x:v>
      </x:c>
      <x:c r="F2" s="14" t="str">
        <x:v>standard</x:v>
      </x:c>
      <x:c r="G2" s="4" t="str">
        <x:v>Spain and Americas</x:v>
      </x:c>
      <x:c r="H2" s="4" t="str">
        <x:v>Latn</x:v>
      </x:c>
      <x:c r="I2" s="14" t="str">
        <x:v>core_initial</x:v>
      </x:c>
      <x:c r="J2" s="4" t="str">
        <x:v>es</x:v>
      </x:c>
      <x:c r="K2" s="4" t="str">
        <x:v>consolidated_active</x:v>
      </x:c>
      <x:c r="L2" s="14" t="str"/>
      <x:c r="M2" s="4" t="str">
        <x:v>Spanish readers</x:v>
      </x:c>
      <x:c r="N2" s="4" t="str">
        <x:v>true</x:v>
      </x:c>
      <x:c r="O2" s="14" t="str">
        <x:v>Regional standards require later metadata</x:v>
      </x:c>
      <x:c r="P2" s="25" t="str">
        <x:v>9</x:v>
      </x:c>
      <x:c r="Q2" s="25" t="str">
        <x:v>895422</x:v>
      </x:c>
      <x:c r="R2" s="14" t="str">
        <x:v>abstract_algebra;field_theory;group_theory;mathematics_general;mathematics_mixed;module_theory;proof_register;ring_theory</x:v>
      </x:c>
      <x:c r="S2" s="14" t="str">
        <x:v>TRANSFER-0025;TRANSFER-0026;TRANSFER-0027;WIKIHTML-ES-12952-173778307;WIKIHTML-ES-21349-166023447;WIKITEXT-ES-46655-163545571;WIKITEXT-ES-47083-163965223;WIKITEXT-ES-60286-171959514;WIKITEXT-ES-9303-172514148</x:v>
      </x:c>
      <x:c r="T2" s="25" t="str">
        <x:v>0</x:v>
      </x:c>
      <x:c r="U2" s="25" t="str">
        <x:v>6</x:v>
      </x:c>
      <x:c r="V2" s="25" t="str">
        <x:v>0</x:v>
      </x:c>
      <x:c r="W2" s="4" t="str">
        <x:v>false</x:v>
      </x:c>
      <x:c r="X2" s="14" t="str">
        <x:v>declared_cc_by_sa_4_0;declared_cc_by_sa_4_0_project_terms_pending_page_match;unresolved</x:v>
      </x:c>
      <x:c r="Y2" s="14" t="str">
        <x:v>active_substantive_body_present_no_official_lexical_reference</x:v>
      </x:c>
      <x:c r="Z2" s="4" t="str">
        <x:v>BD7DAAA5A06B7CB537294203DE327F994499C8154C8016BF99F19BEE252FB8B5</x:v>
      </x:c>
      <x:c r="AA2" s="14" t="str">
        <x:v>route_implemented_active_body_specialist_depth_open</x:v>
      </x:c>
      <x:c r="AB2" s="25" t="str">
        <x:v>0</x:v>
      </x:c>
      <x:c r="AC2" s="25" t="str">
        <x:v>0</x:v>
      </x:c>
      <x:c r="AD2" s="14" t="str"/>
      <x:c r="AE2" s="14" t="str">
        <x:v>no_lexical_reference</x:v>
      </x:c>
      <x:c r="AF2" s="4" t="str">
        <x:v>false</x:v>
      </x:c>
      <x:c r="AG2" s="25" t="str">
        <x:v>0</x:v>
      </x:c>
      <x:c r="AH2" s="25" t="str">
        <x:v>0</x:v>
      </x:c>
      <x:c r="AI2" s="14" t="str"/>
      <x:c r="AJ2" s="14" t="str">
        <x:v>specialist_algebra_body_present</x:v>
      </x:c>
    </x:row>
    <x:row r="3" ht="46" customHeight="1">
      <x:c r="A3" s="14" t="str">
        <x:v>R002</x:v>
      </x:c>
      <x:c r="B3" s="4" t="str">
        <x:v>pt</x:v>
      </x:c>
      <x:c r="C3" s="4" t="str">
        <x:v>Portuguese</x:v>
      </x:c>
      <x:c r="D3" s="4" t="str">
        <x:v>Western Romance</x:v>
      </x:c>
      <x:c r="E3" s="4" t="str">
        <x:v>Ibero-Romance</x:v>
      </x:c>
      <x:c r="F3" s="14" t="str">
        <x:v>standard</x:v>
      </x:c>
      <x:c r="G3" s="4" t="str">
        <x:v>Portugal Africa and Brazil</x:v>
      </x:c>
      <x:c r="H3" s="4" t="str">
        <x:v>Latn</x:v>
      </x:c>
      <x:c r="I3" s="14" t="str">
        <x:v>core_initial</x:v>
      </x:c>
      <x:c r="J3" s="4" t="str">
        <x:v>pt</x:v>
      </x:c>
      <x:c r="K3" s="4" t="str">
        <x:v>consolidated_active</x:v>
      </x:c>
      <x:c r="L3" s="14" t="str"/>
      <x:c r="M3" s="4" t="str">
        <x:v>Portuguese readers</x:v>
      </x:c>
      <x:c r="N3" s="4" t="str">
        <x:v>true</x:v>
      </x:c>
      <x:c r="O3" s="14" t="str">
        <x:v>European and Brazilian register split queued</x:v>
      </x:c>
      <x:c r="P3" s="25" t="str">
        <x:v>7</x:v>
      </x:c>
      <x:c r="Q3" s="25" t="str">
        <x:v>1509170</x:v>
      </x:c>
      <x:c r="R3" s="14" t="str">
        <x:v>abstract_algebra;group_theory;mathematics_general;module_theory;proof_register;ring_theory</x:v>
      </x:c>
      <x:c r="S3" s="14" t="str">
        <x:v>TRANSFER-0024;WIKIHTML-PT-193830-71904594;WIKIHTML-PT-60301-68734795;WIKIHTML-PT-616487-72002999;WIKIHTML-PT-94226-72063411;WIKIHTML-PT-9559-68653183;WIKITEXT-PT-44171-72178684</x:v>
      </x:c>
      <x:c r="T3" s="25" t="str">
        <x:v>0</x:v>
      </x:c>
      <x:c r="U3" s="25" t="str">
        <x:v>6</x:v>
      </x:c>
      <x:c r="V3" s="25" t="str">
        <x:v>0</x:v>
      </x:c>
      <x:c r="W3" s="4" t="str">
        <x:v>false</x:v>
      </x:c>
      <x:c r="X3" s="14" t="str">
        <x:v>declared_cc_by_sa_3_0_needs_attribution_check;declared_cc_by_sa_4_0;declared_cc_by_sa_4_0_project_terms_pending_page_match</x:v>
      </x:c>
      <x:c r="Y3" s="14" t="str">
        <x:v>active_substantive_body_present_no_official_lexical_reference</x:v>
      </x:c>
      <x:c r="Z3" s="4" t="str">
        <x:v>BD7DAAA5A06B7CB537294203DE327F994499C8154C8016BF99F19BEE252FB8B5</x:v>
      </x:c>
      <x:c r="AA3" s="14" t="str">
        <x:v>route_implemented_active_body_specialist_depth_open</x:v>
      </x:c>
      <x:c r="AB3" s="25" t="str">
        <x:v>0</x:v>
      </x:c>
      <x:c r="AC3" s="25" t="str">
        <x:v>0</x:v>
      </x:c>
      <x:c r="AD3" s="14" t="str"/>
      <x:c r="AE3" s="14" t="str">
        <x:v>no_lexical_reference</x:v>
      </x:c>
      <x:c r="AF3" s="4" t="str">
        <x:v>false</x:v>
      </x:c>
      <x:c r="AG3" s="25" t="str">
        <x:v>0</x:v>
      </x:c>
      <x:c r="AH3" s="25" t="str">
        <x:v>0</x:v>
      </x:c>
      <x:c r="AI3" s="14" t="str"/>
      <x:c r="AJ3" s="14" t="str">
        <x:v>specialist_algebra_body_present</x:v>
      </x:c>
    </x:row>
    <x:row r="4" ht="46" customHeight="1">
      <x:c r="A4" s="14" t="str">
        <x:v>R003</x:v>
      </x:c>
      <x:c r="B4" s="4" t="str">
        <x:v>gl</x:v>
      </x:c>
      <x:c r="C4" s="4" t="str">
        <x:v>Galician</x:v>
      </x:c>
      <x:c r="D4" s="4" t="str">
        <x:v>Western Romance</x:v>
      </x:c>
      <x:c r="E4" s="4" t="str">
        <x:v>Ibero-Romance</x:v>
      </x:c>
      <x:c r="F4" s="14" t="str">
        <x:v>standard</x:v>
      </x:c>
      <x:c r="G4" s="4" t="str">
        <x:v>Galicia</x:v>
      </x:c>
      <x:c r="H4" s="4" t="str">
        <x:v>Latn</x:v>
      </x:c>
      <x:c r="I4" s="14" t="str">
        <x:v>core_initial</x:v>
      </x:c>
      <x:c r="J4" s="4" t="str">
        <x:v>gl</x:v>
      </x:c>
      <x:c r="K4" s="4" t="str">
        <x:v>consolidated_active</x:v>
      </x:c>
      <x:c r="L4" s="14" t="str"/>
      <x:c r="M4" s="4" t="str">
        <x:v>Galician readers</x:v>
      </x:c>
      <x:c r="N4" s="4" t="str">
        <x:v>true</x:v>
      </x:c>
      <x:c r="O4" s="14" t="str">
        <x:v>Portuguese is adjacent evidence only</x:v>
      </x:c>
      <x:c r="P4" s="25" t="str">
        <x:v>6</x:v>
      </x:c>
      <x:c r="Q4" s="25" t="str">
        <x:v>1261078</x:v>
      </x:c>
      <x:c r="R4" s="14" t="str">
        <x:v>abstract_algebra;field_theory;group_theory;mathematics_general;module_theory;proof_register;ring_theory</x:v>
      </x:c>
      <x:c r="S4" s="14" t="str">
        <x:v>WIKIHTML-GL-167091-7442913;WIKIHTML-GL-169282-7404099;WIKIHTML-GL-209642-6945035;WIKIHTML-GL-209662-7399914;WIKIHTML-GL-317094-6945037;WIKIHTML-GL-51033-7114436</x:v>
      </x:c>
      <x:c r="T4" s="25" t="str">
        <x:v>0</x:v>
      </x:c>
      <x:c r="U4" s="25" t="str">
        <x:v>5</x:v>
      </x:c>
      <x:c r="V4" s="25" t="str">
        <x:v>0</x:v>
      </x:c>
      <x:c r="W4" s="4" t="str">
        <x:v>false</x:v>
      </x:c>
      <x:c r="X4" s="14" t="str">
        <x:v>declared_cc_by_sa_4_0</x:v>
      </x:c>
      <x:c r="Y4" s="14" t="str">
        <x:v>active_substantive_body_present_no_official_lexical_reference</x:v>
      </x:c>
      <x:c r="Z4" s="4" t="str">
        <x:v>BD7DAAA5A06B7CB537294203DE327F994499C8154C8016BF99F19BEE252FB8B5</x:v>
      </x:c>
      <x:c r="AA4" s="14" t="str">
        <x:v>route_implemented_active_body_specialist_depth_open</x:v>
      </x:c>
      <x:c r="AB4" s="25" t="str">
        <x:v>0</x:v>
      </x:c>
      <x:c r="AC4" s="25" t="str">
        <x:v>0</x:v>
      </x:c>
      <x:c r="AD4" s="14" t="str"/>
      <x:c r="AE4" s="14" t="str">
        <x:v>no_lexical_reference</x:v>
      </x:c>
      <x:c r="AF4" s="4" t="str">
        <x:v>false</x:v>
      </x:c>
      <x:c r="AG4" s="25" t="str">
        <x:v>0</x:v>
      </x:c>
      <x:c r="AH4" s="25" t="str">
        <x:v>0</x:v>
      </x:c>
      <x:c r="AI4" s="14" t="str"/>
      <x:c r="AJ4" s="14" t="str">
        <x:v>specialist_algebra_body_present</x:v>
      </x:c>
    </x:row>
    <x:row r="5" ht="46" customHeight="1">
      <x:c r="A5" s="14" t="str">
        <x:v>R004</x:v>
      </x:c>
      <x:c r="B5" s="4" t="str">
        <x:v>ca</x:v>
      </x:c>
      <x:c r="C5" s="4" t="str">
        <x:v>Catalan</x:v>
      </x:c>
      <x:c r="D5" s="4" t="str">
        <x:v>Western Romance</x:v>
      </x:c>
      <x:c r="E5" s="4" t="str">
        <x:v>Occitano-Romance</x:v>
      </x:c>
      <x:c r="F5" s="14" t="str">
        <x:v>standard</x:v>
      </x:c>
      <x:c r="G5" s="4" t="str">
        <x:v>Catalonia and wider Catalan area</x:v>
      </x:c>
      <x:c r="H5" s="4" t="str">
        <x:v>Latn</x:v>
      </x:c>
      <x:c r="I5" s="14" t="str">
        <x:v>core_initial</x:v>
      </x:c>
      <x:c r="J5" s="4" t="str">
        <x:v>ca</x:v>
      </x:c>
      <x:c r="K5" s="4" t="str">
        <x:v>consolidated_active</x:v>
      </x:c>
      <x:c r="L5" s="14" t="str"/>
      <x:c r="M5" s="4" t="str">
        <x:v>Catalan readers</x:v>
      </x:c>
      <x:c r="N5" s="4" t="str">
        <x:v>true</x:v>
      </x:c>
      <x:c r="O5" s="14" t="str">
        <x:v>Valencian and Balearic routes remain separately tagged</x:v>
      </x:c>
      <x:c r="P5" s="25" t="str">
        <x:v>6</x:v>
      </x:c>
      <x:c r="Q5" s="25" t="str">
        <x:v>1102317</x:v>
      </x:c>
      <x:c r="R5" s="14" t="str">
        <x:v>abstract_algebra;group_theory;mathematics_general;module_theory;proof_register;ring_theory</x:v>
      </x:c>
      <x:c r="S5" s="14" t="str">
        <x:v>WIKIHTML-CA-151836-36710349;WIKIHTML-CA-290598-37629739;WIKIHTML-CA-53255-37305780;WIKIHTML-CA-53831-37621206;WIKIHTML-CA-54406-36480260;WIKITEXT-CA-41933-37220674</x:v>
      </x:c>
      <x:c r="T5" s="25" t="str">
        <x:v>0</x:v>
      </x:c>
      <x:c r="U5" s="25" t="str">
        <x:v>4</x:v>
      </x:c>
      <x:c r="V5" s="25" t="str">
        <x:v>0</x:v>
      </x:c>
      <x:c r="W5" s="4" t="str">
        <x:v>false</x:v>
      </x:c>
      <x:c r="X5" s="14" t="str">
        <x:v>declared_cc_by_sa_4_0;declared_cc_by_sa_4_0_project_terms_pending_page_match</x:v>
      </x:c>
      <x:c r="Y5" s="14" t="str">
        <x:v>active_substantive_body_present_no_official_lexical_reference</x:v>
      </x:c>
      <x:c r="Z5" s="4" t="str">
        <x:v>BD7DAAA5A06B7CB537294203DE327F994499C8154C8016BF99F19BEE252FB8B5</x:v>
      </x:c>
      <x:c r="AA5" s="14" t="str">
        <x:v>route_implemented_active_body_specialist_depth_open</x:v>
      </x:c>
      <x:c r="AB5" s="25" t="str">
        <x:v>0</x:v>
      </x:c>
      <x:c r="AC5" s="25" t="str">
        <x:v>0</x:v>
      </x:c>
      <x:c r="AD5" s="14" t="str"/>
      <x:c r="AE5" s="14" t="str">
        <x:v>no_lexical_reference</x:v>
      </x:c>
      <x:c r="AF5" s="4" t="str">
        <x:v>false</x:v>
      </x:c>
      <x:c r="AG5" s="25" t="str">
        <x:v>0</x:v>
      </x:c>
      <x:c r="AH5" s="25" t="str">
        <x:v>0</x:v>
      </x:c>
      <x:c r="AI5" s="14" t="str"/>
      <x:c r="AJ5" s="14" t="str">
        <x:v>specialist_algebra_body_present</x:v>
      </x:c>
    </x:row>
    <x:row r="6" ht="46" customHeight="1">
      <x:c r="A6" s="14" t="str">
        <x:v>R005</x:v>
      </x:c>
      <x:c r="B6" s="4" t="str">
        <x:v>fr</x:v>
      </x:c>
      <x:c r="C6" s="4" t="str">
        <x:v>French</x:v>
      </x:c>
      <x:c r="D6" s="4" t="str">
        <x:v>Western Romance</x:v>
      </x:c>
      <x:c r="E6" s="4" t="str">
        <x:v>Oïl</x:v>
      </x:c>
      <x:c r="F6" s="14" t="str">
        <x:v>standard</x:v>
      </x:c>
      <x:c r="G6" s="4" t="str">
        <x:v>France and Francophonie</x:v>
      </x:c>
      <x:c r="H6" s="4" t="str">
        <x:v>Latn</x:v>
      </x:c>
      <x:c r="I6" s="14" t="str">
        <x:v>core_initial</x:v>
      </x:c>
      <x:c r="J6" s="4" t="str">
        <x:v>fr</x:v>
      </x:c>
      <x:c r="K6" s="4" t="str">
        <x:v>consolidated_active</x:v>
      </x:c>
      <x:c r="L6" s="14" t="str"/>
      <x:c r="M6" s="4" t="str">
        <x:v>French readers</x:v>
      </x:c>
      <x:c r="N6" s="4" t="str">
        <x:v>true</x:v>
      </x:c>
      <x:c r="O6" s="14" t="str">
        <x:v>Oïl varieties are not replaced by French</x:v>
      </x:c>
      <x:c r="P6" s="25" t="str">
        <x:v>21</x:v>
      </x:c>
      <x:c r="Q6" s="25" t="str">
        <x:v>1692746</x:v>
      </x:c>
      <x:c r="R6" s="14" t="str">
        <x:v>abstract_algebra;field_theory;group_theory;mathematics_general;mathematics_mixed;module_theory;proof_register;ring_theory</x:v>
      </x:c>
      <x:c r="S6" s="14" t="str">
        <x:v>TRANSFER-0001;TRANSFER-0002;TRANSFER-0003;TRANSFER-0004;TRANSFER-0005;TRANSFER-0006;TRANSFER-0007;TRANSFER-0008;TRANSFER-0009;TRANSFER-0010;TRANSFER-0011;TRANSFER-0012;TRANSFER-0013;TRANSFER-0014;TRANSFER-0015;WIKIHTML-FR-17703-228274599;WIKIHTML-FR-20686-228450069;WIKIHTML-FR-247990-234911105;WIKIHTML-FR-5276690-237541745;WIKIHTML-FR-9-228034381;WIKIHTML-FR-96201-235538713</x:v>
      </x:c>
      <x:c r="T6" s="25" t="str">
        <x:v>0</x:v>
      </x:c>
      <x:c r="U6" s="25" t="str">
        <x:v>5</x:v>
      </x:c>
      <x:c r="V6" s="25" t="str">
        <x:v>0</x:v>
      </x:c>
      <x:c r="W6" s="4" t="str">
        <x:v>false</x:v>
      </x:c>
      <x:c r="X6" s="14" t="str">
        <x:v>arxiv_distribution_license_not_reuse_clear;declared_cc_by_sa_4_0</x:v>
      </x:c>
      <x:c r="Y6" s="14" t="str">
        <x:v>active_substantive_body_present_no_official_lexical_reference</x:v>
      </x:c>
      <x:c r="Z6" s="4" t="str">
        <x:v>BD7DAAA5A06B7CB537294203DE327F994499C8154C8016BF99F19BEE252FB8B5</x:v>
      </x:c>
      <x:c r="AA6" s="14" t="str">
        <x:v>route_implemented_active_body_specialist_depth_open</x:v>
      </x:c>
      <x:c r="AB6" s="25" t="str">
        <x:v>0</x:v>
      </x:c>
      <x:c r="AC6" s="25" t="str">
        <x:v>0</x:v>
      </x:c>
      <x:c r="AD6" s="14" t="str"/>
      <x:c r="AE6" s="14" t="str">
        <x:v>no_lexical_reference</x:v>
      </x:c>
      <x:c r="AF6" s="4" t="str">
        <x:v>false</x:v>
      </x:c>
      <x:c r="AG6" s="25" t="str">
        <x:v>0</x:v>
      </x:c>
      <x:c r="AH6" s="25" t="str">
        <x:v>0</x:v>
      </x:c>
      <x:c r="AI6" s="14" t="str"/>
      <x:c r="AJ6" s="14" t="str">
        <x:v>specialist_algebra_body_present</x:v>
      </x:c>
    </x:row>
    <x:row r="7" ht="46" customHeight="1">
      <x:c r="A7" s="14" t="str">
        <x:v>R006</x:v>
      </x:c>
      <x:c r="B7" s="4" t="str">
        <x:v>it</x:v>
      </x:c>
      <x:c r="C7" s="4" t="str">
        <x:v>Italian</x:v>
      </x:c>
      <x:c r="D7" s="4" t="str">
        <x:v>Western Romance</x:v>
      </x:c>
      <x:c r="E7" s="4" t="str">
        <x:v>Italo-Dalmatian</x:v>
      </x:c>
      <x:c r="F7" s="14" t="str">
        <x:v>standard</x:v>
      </x:c>
      <x:c r="G7" s="4" t="str">
        <x:v>Italy and Switzerland</x:v>
      </x:c>
      <x:c r="H7" s="4" t="str">
        <x:v>Latn</x:v>
      </x:c>
      <x:c r="I7" s="14" t="str">
        <x:v>core_initial</x:v>
      </x:c>
      <x:c r="J7" s="4" t="str">
        <x:v>it</x:v>
      </x:c>
      <x:c r="K7" s="4" t="str">
        <x:v>consolidated_active</x:v>
      </x:c>
      <x:c r="L7" s="14" t="str"/>
      <x:c r="M7" s="4" t="str">
        <x:v>Italian readers</x:v>
      </x:c>
      <x:c r="N7" s="4" t="str">
        <x:v>true</x:v>
      </x:c>
      <x:c r="O7" s="14" t="str">
        <x:v>Regional languages are independent routes</x:v>
      </x:c>
      <x:c r="P7" s="25" t="str">
        <x:v>8</x:v>
      </x:c>
      <x:c r="Q7" s="25" t="str">
        <x:v>1641920</x:v>
      </x:c>
      <x:c r="R7" s="14" t="str">
        <x:v>abstract_algebra;analysis;field_theory;group_theory;mathematics_general;module_theory;proof_register;ring_theory</x:v>
      </x:c>
      <x:c r="S7" s="14" t="str">
        <x:v>TRANSFER-0021;TRANSFER-0022;WIKIHTML-IT-31716-145498082;WIKIHTML-IT-33544-138537220;WIKIHTML-IT-40840-141860794;WIKIHTML-IT-63266-146300127;WIKIHTML-IT-85128-146811610;WIKIHTML-IT-95417-144538899</x:v>
      </x:c>
      <x:c r="T7" s="25" t="str">
        <x:v>0</x:v>
      </x:c>
      <x:c r="U7" s="25" t="str">
        <x:v>6</x:v>
      </x:c>
      <x:c r="V7" s="25" t="str">
        <x:v>0</x:v>
      </x:c>
      <x:c r="W7" s="4" t="str">
        <x:v>false</x:v>
      </x:c>
      <x:c r="X7" s="14" t="str">
        <x:v>declared_cc_by_sa_4_0;unresolved_no_explicit_grant</x:v>
      </x:c>
      <x:c r="Y7" s="14" t="str">
        <x:v>active_substantive_body_present_no_official_lexical_reference</x:v>
      </x:c>
      <x:c r="Z7" s="4" t="str">
        <x:v>BD7DAAA5A06B7CB537294203DE327F994499C8154C8016BF99F19BEE252FB8B5</x:v>
      </x:c>
      <x:c r="AA7" s="14" t="str">
        <x:v>route_implemented_active_body_specialist_depth_open</x:v>
      </x:c>
      <x:c r="AB7" s="25" t="str">
        <x:v>0</x:v>
      </x:c>
      <x:c r="AC7" s="25" t="str">
        <x:v>0</x:v>
      </x:c>
      <x:c r="AD7" s="14" t="str"/>
      <x:c r="AE7" s="14" t="str">
        <x:v>no_lexical_reference</x:v>
      </x:c>
      <x:c r="AF7" s="4" t="str">
        <x:v>false</x:v>
      </x:c>
      <x:c r="AG7" s="25" t="str">
        <x:v>0</x:v>
      </x:c>
      <x:c r="AH7" s="25" t="str">
        <x:v>0</x:v>
      </x:c>
      <x:c r="AI7" s="14" t="str"/>
      <x:c r="AJ7" s="14" t="str">
        <x:v>specialist_algebra_body_present</x:v>
      </x:c>
    </x:row>
    <x:row r="8" ht="46" customHeight="1">
      <x:c r="A8" s="14" t="str">
        <x:v>R007</x:v>
      </x:c>
      <x:c r="B8" s="4" t="str">
        <x:v>ro</x:v>
      </x:c>
      <x:c r="C8" s="4" t="str">
        <x:v>Romanian</x:v>
      </x:c>
      <x:c r="D8" s="4" t="str">
        <x:v>Eastern Romance</x:v>
      </x:c>
      <x:c r="E8" s="4" t="str">
        <x:v>Daco-Romanian</x:v>
      </x:c>
      <x:c r="F8" s="14" t="str">
        <x:v>standard</x:v>
      </x:c>
      <x:c r="G8" s="4" t="str">
        <x:v>Romania and Moldova</x:v>
      </x:c>
      <x:c r="H8" s="4" t="str">
        <x:v>Latn</x:v>
      </x:c>
      <x:c r="I8" s="14" t="str">
        <x:v>core_initial</x:v>
      </x:c>
      <x:c r="J8" s="4" t="str">
        <x:v>ro</x:v>
      </x:c>
      <x:c r="K8" s="4" t="str">
        <x:v>consolidated_active</x:v>
      </x:c>
      <x:c r="L8" s="14" t="str"/>
      <x:c r="M8" s="4" t="str">
        <x:v>Romanian readers</x:v>
      </x:c>
      <x:c r="N8" s="4" t="str">
        <x:v>true</x:v>
      </x:c>
      <x:c r="O8" s="14" t="str">
        <x:v>Moldovan script/register metadata queued</x:v>
      </x:c>
      <x:c r="P8" s="25" t="str">
        <x:v>6</x:v>
      </x:c>
      <x:c r="Q8" s="25" t="str">
        <x:v>1251878</x:v>
      </x:c>
      <x:c r="R8" s="14" t="str">
        <x:v>abstract_algebra;field_theory;group_theory;mathematics_general;proof_register;ring_theory</x:v>
      </x:c>
      <x:c r="S8" s="14" t="str">
        <x:v>WIKIHTML-RO-1106041-16295374;WIKIHTML-RO-12164-17778278;WIKIHTML-RO-2398153-17567738;WIKIHTML-RO-2608752-17715620;WIKIHTML-RO-752864-17640786;WIKIHTML-RO-88-17753407</x:v>
      </x:c>
      <x:c r="T8" s="25" t="str">
        <x:v>0</x:v>
      </x:c>
      <x:c r="U8" s="25" t="str">
        <x:v>4</x:v>
      </x:c>
      <x:c r="V8" s="25" t="str">
        <x:v>0</x:v>
      </x:c>
      <x:c r="W8" s="4" t="str">
        <x:v>false</x:v>
      </x:c>
      <x:c r="X8" s="14" t="str">
        <x:v>declared_cc_by_sa_4_0</x:v>
      </x:c>
      <x:c r="Y8" s="14" t="str">
        <x:v>active_substantive_body_present_no_official_lexical_reference</x:v>
      </x:c>
      <x:c r="Z8" s="4" t="str">
        <x:v>BD7DAAA5A06B7CB537294203DE327F994499C8154C8016BF99F19BEE252FB8B5</x:v>
      </x:c>
      <x:c r="AA8" s="14" t="str">
        <x:v>route_implemented_active_body_specialist_depth_open</x:v>
      </x:c>
      <x:c r="AB8" s="25" t="str">
        <x:v>0</x:v>
      </x:c>
      <x:c r="AC8" s="25" t="str">
        <x:v>0</x:v>
      </x:c>
      <x:c r="AD8" s="14" t="str"/>
      <x:c r="AE8" s="14" t="str">
        <x:v>no_lexical_reference</x:v>
      </x:c>
      <x:c r="AF8" s="4" t="str">
        <x:v>false</x:v>
      </x:c>
      <x:c r="AG8" s="25" t="str">
        <x:v>0</x:v>
      </x:c>
      <x:c r="AH8" s="25" t="str">
        <x:v>0</x:v>
      </x:c>
      <x:c r="AI8" s="14" t="str"/>
      <x:c r="AJ8" s="14" t="str">
        <x:v>specialist_algebra_body_present</x:v>
      </x:c>
    </x:row>
    <x:row r="9" ht="46" customHeight="1">
      <x:c r="A9" s="14" t="str">
        <x:v>R008</x:v>
      </x:c>
      <x:c r="B9" s="4" t="str">
        <x:v>rm-rg</x:v>
      </x:c>
      <x:c r="C9" s="4" t="str">
        <x:v>Rumantsch Grischun</x:v>
      </x:c>
      <x:c r="D9" s="4" t="str">
        <x:v>Rhaeto-Romance</x:v>
      </x:c>
      <x:c r="E9" s="4" t="str">
        <x:v>Romansh</x:v>
      </x:c>
      <x:c r="F9" s="14" t="str">
        <x:v>standardized umbrella</x:v>
      </x:c>
      <x:c r="G9" s="4" t="str">
        <x:v>Switzerland</x:v>
      </x:c>
      <x:c r="H9" s="4" t="str">
        <x:v>Latn</x:v>
      </x:c>
      <x:c r="I9" s="14" t="str">
        <x:v>core_initial</x:v>
      </x:c>
      <x:c r="J9" s="4" t="str">
        <x:v>rm</x:v>
      </x:c>
      <x:c r="K9" s="4" t="str">
        <x:v>Swiss institutional mathematics or education source with stable edition</x:v>
      </x:c>
      <x:c r="L9" s="14" t="str">
        <x:v>Specialist algebra remains a zero-body gap; the five regional idioms are separate zero-body routes</x:v>
      </x:c>
      <x:c r="M9" s="4" t="str">
        <x:v>Rumantsch Grischun readers</x:v>
      </x:c>
      <x:c r="N9" s="4" t="str">
        <x:v>true</x:v>
      </x:c>
      <x:c r="O9" s="14" t="str">
        <x:v>Three individually verified official Rumantsch Grischun general school-mathematics examination parts are active; specialist algebra remains a zero-body gap; inherited forms are not corpus attestation; 2026-07-18 intake: zero_target_body_after_targeted_search</x:v>
      </x:c>
      <x:c r="P9" s="25" t="str">
        <x:v>4</x:v>
      </x:c>
      <x:c r="Q9" s="25" t="str">
        <x:v>4470831</x:v>
      </x:c>
      <x:c r="R9" s="14" t="str">
        <x:v>'coordinate_geometry',;'fractions',;'measurement',;'proportional_reasoning',;'solution_register'];'symmetry',;'word_problems',;['arithmetic',;arithmetic;exam_instructions;fractions;geometry;measurement;mental_arithmetic;number_line;solution_register;word_problems</x:v>
      </x:c>
      <x:c r="S9" s="14" t="str">
        <x:v>CURATED-GRCH-AP25-1G-M1-RG;CURATED-RM-RG-GRCH-AP1G-2021-M1;CURATED-RM-RG-GRCH-AP1G-2024-M1;CURATED-RM-RG-GRCH-AP1G-2024-M2</x:v>
      </x:c>
      <x:c r="T9" s="25" t="str">
        <x:v>4</x:v>
      </x:c>
      <x:c r="U9" s="25" t="str">
        <x:v>0</x:v>
      </x:c>
      <x:c r="V9" s="25" t="str">
        <x:v>0</x:v>
      </x:c>
      <x:c r="W9" s="4" t="str">
        <x:v>false</x:v>
      </x:c>
      <x:c r="X9" s="14" t="str">
        <x:v>unresolved_no_explicit_reuse_grant</x:v>
      </x:c>
      <x:c r="Y9" s="14" t="str">
        <x:v>active_substantive_body_and_official_lexical_reference_present</x:v>
      </x:c>
      <x:c r="Z9" s="4" t="str">
        <x:v>BD7DAAA5A06B7CB537294203DE327F994499C8154C8016BF99F19BEE252FB8B5</x:v>
      </x:c>
      <x:c r="AA9" s="14" t="str">
        <x:v>route_implemented_active_body_plus_official_lexical_reference</x:v>
      </x:c>
      <x:c r="AB9" s="25" t="str">
        <x:v>1</x:v>
      </x:c>
      <x:c r="AC9" s="25" t="str">
        <x:v>30</x:v>
      </x:c>
      <x:c r="AD9" s="14" t="str">
        <x:v>CURATED-RM-MULTI-GRCH-LP21-GLOSSARI-2017</x:v>
      </x:c>
      <x:c r="AE9" s="14" t="str">
        <x:v>copyright_status_unresolved_no_explicit_reuse_grant</x:v>
      </x:c>
      <x:c r="AF9" s="4" t="str">
        <x:v>false</x:v>
      </x:c>
      <x:c r="AG9" s="25" t="str">
        <x:v>1</x:v>
      </x:c>
      <x:c r="AH9" s="25" t="str">
        <x:v>1</x:v>
      </x:c>
      <x:c r="AI9" s="14" t="str">
        <x:v>GRCH-AP25-1G-M1-RG</x:v>
      </x:c>
      <x:c r="AJ9" s="14" t="str">
        <x:v>explicit_zero_specialist_algebra_body</x:v>
      </x:c>
    </x:row>
    <x:row r="10" ht="46" customHeight="1">
      <x:c r="A10" s="14" t="str">
        <x:v>R009</x:v>
      </x:c>
      <x:c r="B10" s="4" t="str">
        <x:v>rm-sursilvan</x:v>
      </x:c>
      <x:c r="C10" s="4" t="str">
        <x:v>Sursilvan</x:v>
      </x:c>
      <x:c r="D10" s="4" t="str">
        <x:v>Rhaeto-Romance</x:v>
      </x:c>
      <x:c r="E10" s="4" t="str">
        <x:v>Romansh</x:v>
      </x:c>
      <x:c r="F10" s="14" t="str">
        <x:v>regional idiom</x:v>
      </x:c>
      <x:c r="G10" s="4" t="str">
        <x:v>Surselva Switzerland</x:v>
      </x:c>
      <x:c r="H10" s="4" t="str">
        <x:v>Latn</x:v>
      </x:c>
      <x:c r="I10" s="14" t="str">
        <x:v>core_expansion</x:v>
      </x:c>
      <x:c r="J10" s="4" t="str"/>
      <x:c r="K10" s="4" t="str">
        <x:v>idiom-specific institutional dictionary plus native mathematics text</x:v>
      </x:c>
      <x:c r="L10" s="14" t="str">
        <x:v>No source acquired; official lexical reference does not close the body gap</x:v>
      </x:c>
      <x:c r="M10" s="4" t="str">
        <x:v>Separate Sursilvan cohort</x:v>
      </x:c>
      <x:c r="N10" s="4" t="str">
        <x:v>true</x:v>
      </x:c>
      <x:c r="O10" s="14" t="str">
        <x:v>Rumantsch Grischun is not a proxy; Official school-math lexical crosswalk present; running and specialist-algebra bodies remain absent; 2026-07-18 intake: body_acquired_pending_integration_review</x:v>
      </x:c>
      <x:c r="P10" s="25" t="str">
        <x:v>1</x:v>
      </x:c>
      <x:c r="Q10" s="25" t="str">
        <x:v>1621152</x:v>
      </x:c>
      <x:c r="R10" s="14" t="str">
        <x:v>'coordinate_geometry',;'fractions',;'measurement',;'proportional_reasoning',;'solution_register'];'symmetry',;'word_problems',;['arithmetic',</x:v>
      </x:c>
      <x:c r="S10" s="14" t="str">
        <x:v>CURATED-GRCH-AP25-1G-M1-SURS</x:v>
      </x:c>
      <x:c r="T10" s="25" t="str">
        <x:v>1</x:v>
      </x:c>
      <x:c r="U10" s="25" t="str">
        <x:v>0</x:v>
      </x:c>
      <x:c r="V10" s="25" t="str">
        <x:v>0</x:v>
      </x:c>
      <x:c r="W10" s="4" t="str">
        <x:v>false</x:v>
      </x:c>
      <x:c r="X10" s="14" t="str">
        <x:v>unresolved_no_explicit_reuse_grant</x:v>
      </x:c>
      <x:c r="Y10" s="14" t="str">
        <x:v>active_substantive_body_and_official_lexical_reference_present</x:v>
      </x:c>
      <x:c r="Z10" s="4" t="str">
        <x:v>BD7DAAA5A06B7CB537294203DE327F994499C8154C8016BF99F19BEE252FB8B5</x:v>
      </x:c>
      <x:c r="AA10" s="14" t="str">
        <x:v>route_implemented_active_body_plus_official_lexical_reference</x:v>
      </x:c>
      <x:c r="AB10" s="25" t="str">
        <x:v>1</x:v>
      </x:c>
      <x:c r="AC10" s="25" t="str">
        <x:v>30</x:v>
      </x:c>
      <x:c r="AD10" s="14" t="str">
        <x:v>CURATED-RM-MULTI-GRCH-LP21-GLOSSARI-2017</x:v>
      </x:c>
      <x:c r="AE10" s="14" t="str">
        <x:v>copyright_status_unresolved_no_explicit_reuse_grant</x:v>
      </x:c>
      <x:c r="AF10" s="4" t="str">
        <x:v>false</x:v>
      </x:c>
      <x:c r="AG10" s="25" t="str">
        <x:v>1</x:v>
      </x:c>
      <x:c r="AH10" s="25" t="str">
        <x:v>1</x:v>
      </x:c>
      <x:c r="AI10" s="14" t="str">
        <x:v>GRCH-AP25-1G-M1-SURS</x:v>
      </x:c>
      <x:c r="AJ10" s="14" t="str">
        <x:v>explicit_zero_specialist_algebra_body</x:v>
      </x:c>
    </x:row>
    <x:row r="11" ht="46" customHeight="1">
      <x:c r="A11" s="14" t="str">
        <x:v>R010</x:v>
      </x:c>
      <x:c r="B11" s="4" t="str">
        <x:v>rm-sutsilvan</x:v>
      </x:c>
      <x:c r="C11" s="4" t="str">
        <x:v>Sutsilvan</x:v>
      </x:c>
      <x:c r="D11" s="4" t="str">
        <x:v>Rhaeto-Romance</x:v>
      </x:c>
      <x:c r="E11" s="4" t="str">
        <x:v>Romansh</x:v>
      </x:c>
      <x:c r="F11" s="14" t="str">
        <x:v>regional idiom</x:v>
      </x:c>
      <x:c r="G11" s="4" t="str">
        <x:v>Central Grisons Switzerland</x:v>
      </x:c>
      <x:c r="H11" s="4" t="str">
        <x:v>Latn</x:v>
      </x:c>
      <x:c r="I11" s="14" t="str">
        <x:v>core_expansion</x:v>
      </x:c>
      <x:c r="J11" s="4" t="str"/>
      <x:c r="K11" s="4" t="str">
        <x:v>idiom-specific institutional dictionary plus native mathematics text</x:v>
      </x:c>
      <x:c r="L11" s="14" t="str">
        <x:v>No source acquired</x:v>
      </x:c>
      <x:c r="M11" s="4" t="str">
        <x:v>Separate Sutsilvan cohort</x:v>
      </x:c>
      <x:c r="N11" s="4" t="str">
        <x:v>true</x:v>
      </x:c>
      <x:c r="O11" s="14" t="str">
        <x:v>Rumantsch Grischun is not a proxy; 2026-07-18 intake: zero_body; exact official catalog locator found but downloaded bytes are metadata only</x:v>
      </x:c>
      <x:c r="P11" s="25" t="str">
        <x:v>0</x:v>
      </x:c>
      <x:c r="Q11" s="25" t="str">
        <x:v>0</x:v>
      </x:c>
      <x:c r="R11" s="14" t="str"/>
      <x:c r="S11" s="14" t="str"/>
      <x:c r="T11" s="25" t="str">
        <x:v>0</x:v>
      </x:c>
      <x:c r="U11" s="25" t="str">
        <x:v>0</x:v>
      </x:c>
      <x:c r="V11" s="25" t="str">
        <x:v>0</x:v>
      </x:c>
      <x:c r="W11" s="4" t="str">
        <x:v>false</x:v>
      </x:c>
      <x:c r="X11" s="14" t="str">
        <x:v>no_active_body</x:v>
      </x:c>
      <x:c r="Y11" s="14" t="str">
        <x:v>explicit_zero_body_gap</x:v>
      </x:c>
      <x:c r="Z11" s="4" t="str">
        <x:v>BD7DAAA5A06B7CB537294203DE327F994499C8154C8016BF99F19BEE252FB8B5</x:v>
      </x:c>
      <x:c r="AA11" s="14" t="str">
        <x:v>route_open_zero_body</x:v>
      </x:c>
      <x:c r="AB11" s="25" t="str">
        <x:v>0</x:v>
      </x:c>
      <x:c r="AC11" s="25" t="str">
        <x:v>0</x:v>
      </x:c>
      <x:c r="AD11" s="14" t="str"/>
      <x:c r="AE11" s="14" t="str">
        <x:v>no_lexical_reference</x:v>
      </x:c>
      <x:c r="AF11" s="4" t="str">
        <x:v>false</x:v>
      </x:c>
      <x:c r="AG11" s="25" t="str">
        <x:v>0</x:v>
      </x:c>
      <x:c r="AH11" s="25" t="str">
        <x:v>0</x:v>
      </x:c>
      <x:c r="AI11" s="14" t="str"/>
      <x:c r="AJ11" s="14" t="str">
        <x:v>explicit_zero_specialist_algebra_body</x:v>
      </x:c>
    </x:row>
    <x:row r="12" ht="46" customHeight="1">
      <x:c r="A12" s="14" t="str">
        <x:v>R011</x:v>
      </x:c>
      <x:c r="B12" s="4" t="str">
        <x:v>rm-surmiran</x:v>
      </x:c>
      <x:c r="C12" s="4" t="str">
        <x:v>Surmiran</x:v>
      </x:c>
      <x:c r="D12" s="4" t="str">
        <x:v>Rhaeto-Romance</x:v>
      </x:c>
      <x:c r="E12" s="4" t="str">
        <x:v>Romansh</x:v>
      </x:c>
      <x:c r="F12" s="14" t="str">
        <x:v>regional idiom</x:v>
      </x:c>
      <x:c r="G12" s="4" t="str">
        <x:v>Albula and Surses Switzerland</x:v>
      </x:c>
      <x:c r="H12" s="4" t="str">
        <x:v>Latn</x:v>
      </x:c>
      <x:c r="I12" s="14" t="str">
        <x:v>core_expansion</x:v>
      </x:c>
      <x:c r="J12" s="4" t="str"/>
      <x:c r="K12" s="4" t="str">
        <x:v>idiom-specific institutional dictionary plus native mathematics text</x:v>
      </x:c>
      <x:c r="L12" s="14" t="str">
        <x:v>No source acquired</x:v>
      </x:c>
      <x:c r="M12" s="4" t="str">
        <x:v>Separate Surmiran cohort</x:v>
      </x:c>
      <x:c r="N12" s="4" t="str">
        <x:v>true</x:v>
      </x:c>
      <x:c r="O12" s="14" t="str">
        <x:v>Rumantsch Grischun is not a proxy; 2026-07-18 intake: zero_body; exact official catalog locator found but downloaded bytes are metadata only</x:v>
      </x:c>
      <x:c r="P12" s="25" t="str">
        <x:v>0</x:v>
      </x:c>
      <x:c r="Q12" s="25" t="str">
        <x:v>0</x:v>
      </x:c>
      <x:c r="R12" s="14" t="str"/>
      <x:c r="S12" s="14" t="str"/>
      <x:c r="T12" s="25" t="str">
        <x:v>0</x:v>
      </x:c>
      <x:c r="U12" s="25" t="str">
        <x:v>0</x:v>
      </x:c>
      <x:c r="V12" s="25" t="str">
        <x:v>0</x:v>
      </x:c>
      <x:c r="W12" s="4" t="str">
        <x:v>false</x:v>
      </x:c>
      <x:c r="X12" s="14" t="str">
        <x:v>no_active_body</x:v>
      </x:c>
      <x:c r="Y12" s="14" t="str">
        <x:v>explicit_zero_body_gap</x:v>
      </x:c>
      <x:c r="Z12" s="4" t="str">
        <x:v>BD7DAAA5A06B7CB537294203DE327F994499C8154C8016BF99F19BEE252FB8B5</x:v>
      </x:c>
      <x:c r="AA12" s="14" t="str">
        <x:v>route_open_zero_body</x:v>
      </x:c>
      <x:c r="AB12" s="25" t="str">
        <x:v>0</x:v>
      </x:c>
      <x:c r="AC12" s="25" t="str">
        <x:v>0</x:v>
      </x:c>
      <x:c r="AD12" s="14" t="str"/>
      <x:c r="AE12" s="14" t="str">
        <x:v>no_lexical_reference</x:v>
      </x:c>
      <x:c r="AF12" s="4" t="str">
        <x:v>false</x:v>
      </x:c>
      <x:c r="AG12" s="25" t="str">
        <x:v>0</x:v>
      </x:c>
      <x:c r="AH12" s="25" t="str">
        <x:v>0</x:v>
      </x:c>
      <x:c r="AI12" s="14" t="str"/>
      <x:c r="AJ12" s="14" t="str">
        <x:v>explicit_zero_specialist_algebra_body</x:v>
      </x:c>
    </x:row>
    <x:row r="13" ht="46" customHeight="1">
      <x:c r="A13" s="14" t="str">
        <x:v>R012</x:v>
      </x:c>
      <x:c r="B13" s="4" t="str">
        <x:v>rm-puter</x:v>
      </x:c>
      <x:c r="C13" s="4" t="str">
        <x:v>Putèr</x:v>
      </x:c>
      <x:c r="D13" s="4" t="str">
        <x:v>Rhaeto-Romance</x:v>
      </x:c>
      <x:c r="E13" s="4" t="str">
        <x:v>Romansh</x:v>
      </x:c>
      <x:c r="F13" s="14" t="str">
        <x:v>regional idiom</x:v>
      </x:c>
      <x:c r="G13" s="4" t="str">
        <x:v>Upper Engadine Switzerland</x:v>
      </x:c>
      <x:c r="H13" s="4" t="str">
        <x:v>Latn</x:v>
      </x:c>
      <x:c r="I13" s="14" t="str">
        <x:v>core_expansion</x:v>
      </x:c>
      <x:c r="J13" s="4" t="str"/>
      <x:c r="K13" s="4" t="str">
        <x:v>idiom-specific institutional dictionary plus native mathematics text</x:v>
      </x:c>
      <x:c r="L13" s="14" t="str">
        <x:v>No source acquired</x:v>
      </x:c>
      <x:c r="M13" s="4" t="str">
        <x:v>Separate Putèr cohort</x:v>
      </x:c>
      <x:c r="N13" s="4" t="str">
        <x:v>true</x:v>
      </x:c>
      <x:c r="O13" s="14" t="str">
        <x:v>Rumantsch Grischun is not a proxy; 2026-07-18 intake: body_acquired_pending_integration_review</x:v>
      </x:c>
      <x:c r="P13" s="25" t="str">
        <x:v>1</x:v>
      </x:c>
      <x:c r="Q13" s="25" t="str">
        <x:v>1699194</x:v>
      </x:c>
      <x:c r="R13" s="14" t="str">
        <x:v>'coordinate_geometry',;'fractions',;'measurement',;'proportional_reasoning',;'solution_register'];'symmetry',;'word_problems',;['arithmetic',</x:v>
      </x:c>
      <x:c r="S13" s="14" t="str">
        <x:v>CURATED-GRCH-AP25-1G-M1-PUT</x:v>
      </x:c>
      <x:c r="T13" s="25" t="str">
        <x:v>1</x:v>
      </x:c>
      <x:c r="U13" s="25" t="str">
        <x:v>0</x:v>
      </x:c>
      <x:c r="V13" s="25" t="str">
        <x:v>0</x:v>
      </x:c>
      <x:c r="W13" s="4" t="str">
        <x:v>false</x:v>
      </x:c>
      <x:c r="X13" s="14" t="str">
        <x:v>unresolved_no_explicit_reuse_grant</x:v>
      </x:c>
      <x:c r="Y13" s="14" t="str">
        <x:v>active_substantive_body_present_no_official_lexical_reference</x:v>
      </x:c>
      <x:c r="Z13" s="4" t="str">
        <x:v>BD7DAAA5A06B7CB537294203DE327F994499C8154C8016BF99F19BEE252FB8B5</x:v>
      </x:c>
      <x:c r="AA13" s="14" t="str">
        <x:v>route_implemented_active_body_specialist_depth_open</x:v>
      </x:c>
      <x:c r="AB13" s="25" t="str">
        <x:v>0</x:v>
      </x:c>
      <x:c r="AC13" s="25" t="str">
        <x:v>0</x:v>
      </x:c>
      <x:c r="AD13" s="14" t="str"/>
      <x:c r="AE13" s="14" t="str">
        <x:v>no_lexical_reference</x:v>
      </x:c>
      <x:c r="AF13" s="4" t="str">
        <x:v>false</x:v>
      </x:c>
      <x:c r="AG13" s="25" t="str">
        <x:v>1</x:v>
      </x:c>
      <x:c r="AH13" s="25" t="str">
        <x:v>1</x:v>
      </x:c>
      <x:c r="AI13" s="14" t="str">
        <x:v>GRCH-AP25-1G-M1-PUT</x:v>
      </x:c>
      <x:c r="AJ13" s="14" t="str">
        <x:v>explicit_zero_specialist_algebra_body</x:v>
      </x:c>
    </x:row>
    <x:row r="14" ht="46" customHeight="1">
      <x:c r="A14" s="14" t="str">
        <x:v>R013</x:v>
      </x:c>
      <x:c r="B14" s="4" t="str">
        <x:v>rm-vallader</x:v>
      </x:c>
      <x:c r="C14" s="4" t="str">
        <x:v>Vallader</x:v>
      </x:c>
      <x:c r="D14" s="4" t="str">
        <x:v>Rhaeto-Romance</x:v>
      </x:c>
      <x:c r="E14" s="4" t="str">
        <x:v>Romansh</x:v>
      </x:c>
      <x:c r="F14" s="14" t="str">
        <x:v>regional idiom</x:v>
      </x:c>
      <x:c r="G14" s="4" t="str">
        <x:v>Lower Engadine Switzerland</x:v>
      </x:c>
      <x:c r="H14" s="4" t="str">
        <x:v>Latn</x:v>
      </x:c>
      <x:c r="I14" s="14" t="str">
        <x:v>core_expansion</x:v>
      </x:c>
      <x:c r="J14" s="4" t="str"/>
      <x:c r="K14" s="4" t="str">
        <x:v>idiom-specific institutional dictionary plus native mathematics text</x:v>
      </x:c>
      <x:c r="L14" s="14" t="str">
        <x:v>No source acquired; official lexical reference does not close the body gap</x:v>
      </x:c>
      <x:c r="M14" s="4" t="str">
        <x:v>Separate Vallader cohort</x:v>
      </x:c>
      <x:c r="N14" s="4" t="str">
        <x:v>true</x:v>
      </x:c>
      <x:c r="O14" s="14" t="str">
        <x:v>Rumantsch Grischun is not a proxy; Official school-math lexical crosswalk present; running and specialist-algebra bodies remain absent; 2026-07-18 intake: body_acquired_pending_integration_review</x:v>
      </x:c>
      <x:c r="P14" s="25" t="str">
        <x:v>1</x:v>
      </x:c>
      <x:c r="Q14" s="25" t="str">
        <x:v>1679743</x:v>
      </x:c>
      <x:c r="R14" s="14" t="str">
        <x:v>'coordinate_geometry',;'fractions',;'measurement',;'proportional_reasoning',;'solution_register'];'symmetry',;'word_problems',;['arithmetic',</x:v>
      </x:c>
      <x:c r="S14" s="14" t="str">
        <x:v>CURATED-GRCH-AP25-1G-M1-VALL</x:v>
      </x:c>
      <x:c r="T14" s="25" t="str">
        <x:v>1</x:v>
      </x:c>
      <x:c r="U14" s="25" t="str">
        <x:v>0</x:v>
      </x:c>
      <x:c r="V14" s="25" t="str">
        <x:v>0</x:v>
      </x:c>
      <x:c r="W14" s="4" t="str">
        <x:v>false</x:v>
      </x:c>
      <x:c r="X14" s="14" t="str">
        <x:v>unresolved_no_explicit_reuse_grant</x:v>
      </x:c>
      <x:c r="Y14" s="14" t="str">
        <x:v>active_substantive_body_and_official_lexical_reference_present</x:v>
      </x:c>
      <x:c r="Z14" s="4" t="str">
        <x:v>BD7DAAA5A06B7CB537294203DE327F994499C8154C8016BF99F19BEE252FB8B5</x:v>
      </x:c>
      <x:c r="AA14" s="14" t="str">
        <x:v>route_implemented_active_body_plus_official_lexical_reference</x:v>
      </x:c>
      <x:c r="AB14" s="25" t="str">
        <x:v>1</x:v>
      </x:c>
      <x:c r="AC14" s="25" t="str">
        <x:v>30</x:v>
      </x:c>
      <x:c r="AD14" s="14" t="str">
        <x:v>CURATED-RM-MULTI-GRCH-LP21-GLOSSARI-2017</x:v>
      </x:c>
      <x:c r="AE14" s="14" t="str">
        <x:v>copyright_status_unresolved_no_explicit_reuse_grant</x:v>
      </x:c>
      <x:c r="AF14" s="4" t="str">
        <x:v>false</x:v>
      </x:c>
      <x:c r="AG14" s="25" t="str">
        <x:v>1</x:v>
      </x:c>
      <x:c r="AH14" s="25" t="str">
        <x:v>1</x:v>
      </x:c>
      <x:c r="AI14" s="14" t="str">
        <x:v>GRCH-AP25-1G-M1-VALL</x:v>
      </x:c>
      <x:c r="AJ14" s="14" t="str">
        <x:v>explicit_zero_specialist_algebra_body</x:v>
      </x:c>
    </x:row>
    <x:row r="15" ht="46" customHeight="1">
      <x:c r="A15" s="14" t="str">
        <x:v>R014</x:v>
      </x:c>
      <x:c r="B15" s="4" t="str">
        <x:v>oc</x:v>
      </x:c>
      <x:c r="C15" s="4" t="str">
        <x:v>Occitan</x:v>
      </x:c>
      <x:c r="D15" s="4" t="str">
        <x:v>Western Romance</x:v>
      </x:c>
      <x:c r="E15" s="4" t="str">
        <x:v>Occitano-Romance</x:v>
      </x:c>
      <x:c r="F15" s="14" t="str">
        <x:v>standard/pluricentric</x:v>
      </x:c>
      <x:c r="G15" s="4" t="str">
        <x:v>Occitania</x:v>
      </x:c>
      <x:c r="H15" s="4" t="str">
        <x:v>Latn</x:v>
      </x:c>
      <x:c r="I15" s="14" t="str">
        <x:v>core_expansion</x:v>
      </x:c>
      <x:c r="J15" s="4" t="str"/>
      <x:c r="K15" s="4" t="str">
        <x:v>institutional lexicon plus revision-pinned mathematical source</x:v>
      </x:c>
      <x:c r="L15" s="14" t="str">
        <x:v>No source acquired</x:v>
      </x:c>
      <x:c r="M15" s="4" t="str">
        <x:v>Occitan readers</x:v>
      </x:c>
      <x:c r="N15" s="4" t="str">
        <x:v>true</x:v>
      </x:c>
      <x:c r="O15" s="14" t="str">
        <x:v>Catalan is adjacent evidence only</x:v>
      </x:c>
      <x:c r="P15" s="25" t="str">
        <x:v>0</x:v>
      </x:c>
      <x:c r="Q15" s="25" t="str">
        <x:v>0</x:v>
      </x:c>
      <x:c r="R15" s="14" t="str"/>
      <x:c r="S15" s="14" t="str"/>
      <x:c r="T15" s="25" t="str">
        <x:v>0</x:v>
      </x:c>
      <x:c r="U15" s="25" t="str">
        <x:v>0</x:v>
      </x:c>
      <x:c r="V15" s="25" t="str">
        <x:v>0</x:v>
      </x:c>
      <x:c r="W15" s="4" t="str">
        <x:v>false</x:v>
      </x:c>
      <x:c r="X15" s="14" t="str">
        <x:v>no_active_body</x:v>
      </x:c>
      <x:c r="Y15" s="14" t="str">
        <x:v>explicit_zero_body_gap</x:v>
      </x:c>
      <x:c r="Z15" s="4" t="str">
        <x:v>BD7DAAA5A06B7CB537294203DE327F994499C8154C8016BF99F19BEE252FB8B5</x:v>
      </x:c>
      <x:c r="AA15" s="14" t="str">
        <x:v>route_open_zero_body</x:v>
      </x:c>
      <x:c r="AB15" s="25" t="str">
        <x:v>0</x:v>
      </x:c>
      <x:c r="AC15" s="25" t="str">
        <x:v>0</x:v>
      </x:c>
      <x:c r="AD15" s="14" t="str"/>
      <x:c r="AE15" s="14" t="str">
        <x:v>no_lexical_reference</x:v>
      </x:c>
      <x:c r="AF15" s="4" t="str">
        <x:v>false</x:v>
      </x:c>
      <x:c r="AG15" s="25" t="str">
        <x:v>0</x:v>
      </x:c>
      <x:c r="AH15" s="25" t="str">
        <x:v>0</x:v>
      </x:c>
      <x:c r="AI15" s="14" t="str"/>
      <x:c r="AJ15" s="14" t="str">
        <x:v>explicit_zero_specialist_algebra_body</x:v>
      </x:c>
    </x:row>
    <x:row r="16" ht="46" customHeight="1">
      <x:c r="A16" s="14" t="str">
        <x:v>R015</x:v>
      </x:c>
      <x:c r="B16" s="4" t="str">
        <x:v>oc-aranese</x:v>
      </x:c>
      <x:c r="C16" s="4" t="str">
        <x:v>Aranese</x:v>
      </x:c>
      <x:c r="D16" s="4" t="str">
        <x:v>Western Romance</x:v>
      </x:c>
      <x:c r="E16" s="4" t="str">
        <x:v>Occitano-Romance</x:v>
      </x:c>
      <x:c r="F16" s="14" t="str">
        <x:v>official Gascon standard</x:v>
      </x:c>
      <x:c r="G16" s="4" t="str">
        <x:v>Val d'Aran</x:v>
      </x:c>
      <x:c r="H16" s="4" t="str">
        <x:v>Latn</x:v>
      </x:c>
      <x:c r="I16" s="14" t="str">
        <x:v>core_expansion</x:v>
      </x:c>
      <x:c r="J16" s="4" t="str"/>
      <x:c r="K16" s="4" t="str">
        <x:v>official educational mathematics source plus lexicon</x:v>
      </x:c>
      <x:c r="L16" s="14" t="str">
        <x:v>No source acquired</x:v>
      </x:c>
      <x:c r="M16" s="4" t="str">
        <x:v>Aranese readers</x:v>
      </x:c>
      <x:c r="N16" s="4" t="str">
        <x:v>true</x:v>
      </x:c>
      <x:c r="O16" s="14" t="str">
        <x:v>Occitan umbrella is not a substitute</x:v>
      </x:c>
      <x:c r="P16" s="25" t="str">
        <x:v>0</x:v>
      </x:c>
      <x:c r="Q16" s="25" t="str">
        <x:v>0</x:v>
      </x:c>
      <x:c r="R16" s="14" t="str"/>
      <x:c r="S16" s="14" t="str"/>
      <x:c r="T16" s="25" t="str">
        <x:v>0</x:v>
      </x:c>
      <x:c r="U16" s="25" t="str">
        <x:v>0</x:v>
      </x:c>
      <x:c r="V16" s="25" t="str">
        <x:v>0</x:v>
      </x:c>
      <x:c r="W16" s="4" t="str">
        <x:v>false</x:v>
      </x:c>
      <x:c r="X16" s="14" t="str">
        <x:v>no_active_body</x:v>
      </x:c>
      <x:c r="Y16" s="14" t="str">
        <x:v>explicit_zero_body_gap</x:v>
      </x:c>
      <x:c r="Z16" s="4" t="str">
        <x:v>BD7DAAA5A06B7CB537294203DE327F994499C8154C8016BF99F19BEE252FB8B5</x:v>
      </x:c>
      <x:c r="AA16" s="14" t="str">
        <x:v>route_open_zero_body</x:v>
      </x:c>
      <x:c r="AB16" s="25" t="str">
        <x:v>0</x:v>
      </x:c>
      <x:c r="AC16" s="25" t="str">
        <x:v>0</x:v>
      </x:c>
      <x:c r="AD16" s="14" t="str"/>
      <x:c r="AE16" s="14" t="str">
        <x:v>no_lexical_reference</x:v>
      </x:c>
      <x:c r="AF16" s="4" t="str">
        <x:v>false</x:v>
      </x:c>
      <x:c r="AG16" s="25" t="str">
        <x:v>0</x:v>
      </x:c>
      <x:c r="AH16" s="25" t="str">
        <x:v>0</x:v>
      </x:c>
      <x:c r="AI16" s="14" t="str"/>
      <x:c r="AJ16" s="14" t="str">
        <x:v>explicit_zero_specialist_algebra_body</x:v>
      </x:c>
    </x:row>
    <x:row r="17" ht="46" customHeight="1">
      <x:c r="A17" s="14" t="str">
        <x:v>R016</x:v>
      </x:c>
      <x:c r="B17" s="4" t="str">
        <x:v>oc-gascon</x:v>
      </x:c>
      <x:c r="C17" s="4" t="str">
        <x:v>Gascon</x:v>
      </x:c>
      <x:c r="D17" s="4" t="str">
        <x:v>Western Romance</x:v>
      </x:c>
      <x:c r="E17" s="4" t="str">
        <x:v>Occitano-Romance</x:v>
      </x:c>
      <x:c r="F17" s="14" t="str">
        <x:v>regional standard</x:v>
      </x:c>
      <x:c r="G17" s="4" t="str">
        <x:v>Gascony</x:v>
      </x:c>
      <x:c r="H17" s="4" t="str">
        <x:v>Latn</x:v>
      </x:c>
      <x:c r="I17" s="14" t="str">
        <x:v>core_expansion</x:v>
      </x:c>
      <x:c r="J17" s="4" t="str"/>
      <x:c r="K17" s="4" t="str">
        <x:v>regional dictionary plus native technical source</x:v>
      </x:c>
      <x:c r="L17" s="14" t="str">
        <x:v>No source acquired</x:v>
      </x:c>
      <x:c r="M17" s="4" t="str">
        <x:v>Gascon readers</x:v>
      </x:c>
      <x:c r="N17" s="4" t="str">
        <x:v>true</x:v>
      </x:c>
      <x:c r="O17" s="14" t="str">
        <x:v>Aranese evidence must be tagged separately</x:v>
      </x:c>
      <x:c r="P17" s="25" t="str">
        <x:v>0</x:v>
      </x:c>
      <x:c r="Q17" s="25" t="str">
        <x:v>0</x:v>
      </x:c>
      <x:c r="R17" s="14" t="str"/>
      <x:c r="S17" s="14" t="str"/>
      <x:c r="T17" s="25" t="str">
        <x:v>0</x:v>
      </x:c>
      <x:c r="U17" s="25" t="str">
        <x:v>0</x:v>
      </x:c>
      <x:c r="V17" s="25" t="str">
        <x:v>0</x:v>
      </x:c>
      <x:c r="W17" s="4" t="str">
        <x:v>false</x:v>
      </x:c>
      <x:c r="X17" s="14" t="str">
        <x:v>no_active_body</x:v>
      </x:c>
      <x:c r="Y17" s="14" t="str">
        <x:v>explicit_zero_body_gap</x:v>
      </x:c>
      <x:c r="Z17" s="4" t="str">
        <x:v>BD7DAAA5A06B7CB537294203DE327F994499C8154C8016BF99F19BEE252FB8B5</x:v>
      </x:c>
      <x:c r="AA17" s="14" t="str">
        <x:v>route_open_zero_body</x:v>
      </x:c>
      <x:c r="AB17" s="25" t="str">
        <x:v>0</x:v>
      </x:c>
      <x:c r="AC17" s="25" t="str">
        <x:v>0</x:v>
      </x:c>
      <x:c r="AD17" s="14" t="str"/>
      <x:c r="AE17" s="14" t="str">
        <x:v>no_lexical_reference</x:v>
      </x:c>
      <x:c r="AF17" s="4" t="str">
        <x:v>false</x:v>
      </x:c>
      <x:c r="AG17" s="25" t="str">
        <x:v>0</x:v>
      </x:c>
      <x:c r="AH17" s="25" t="str">
        <x:v>0</x:v>
      </x:c>
      <x:c r="AI17" s="14" t="str"/>
      <x:c r="AJ17" s="14" t="str">
        <x:v>explicit_zero_specialist_algebra_body</x:v>
      </x:c>
    </x:row>
    <x:row r="18" ht="46" customHeight="1">
      <x:c r="A18" s="14" t="str">
        <x:v>R017</x:v>
      </x:c>
      <x:c r="B18" s="4" t="str">
        <x:v>frp</x:v>
      </x:c>
      <x:c r="C18" s="4" t="str">
        <x:v>Arpitan / Franco-Provençal</x:v>
      </x:c>
      <x:c r="D18" s="4" t="str">
        <x:v>Western Romance</x:v>
      </x:c>
      <x:c r="E18" s="4" t="str">
        <x:v>Arpitan</x:v>
      </x:c>
      <x:c r="F18" s="14" t="str">
        <x:v>regional standards</x:v>
      </x:c>
      <x:c r="G18" s="4" t="str">
        <x:v>France Switzerland and Italy</x:v>
      </x:c>
      <x:c r="H18" s="4" t="str">
        <x:v>Latn</x:v>
      </x:c>
      <x:c r="I18" s="14" t="str">
        <x:v>core_expansion</x:v>
      </x:c>
      <x:c r="J18" s="4" t="str"/>
      <x:c r="K18" s="4" t="str">
        <x:v>institutional dictionary plus native mathematics or education source</x:v>
      </x:c>
      <x:c r="L18" s="14" t="str">
        <x:v>No source acquired</x:v>
      </x:c>
      <x:c r="M18" s="4" t="str">
        <x:v>Arpitan readers</x:v>
      </x:c>
      <x:c r="N18" s="4" t="str">
        <x:v>true</x:v>
      </x:c>
      <x:c r="O18" s="14" t="str">
        <x:v>French is not a proxy</x:v>
      </x:c>
      <x:c r="P18" s="25" t="str">
        <x:v>0</x:v>
      </x:c>
      <x:c r="Q18" s="25" t="str">
        <x:v>0</x:v>
      </x:c>
      <x:c r="R18" s="14" t="str"/>
      <x:c r="S18" s="14" t="str"/>
      <x:c r="T18" s="25" t="str">
        <x:v>0</x:v>
      </x:c>
      <x:c r="U18" s="25" t="str">
        <x:v>0</x:v>
      </x:c>
      <x:c r="V18" s="25" t="str">
        <x:v>0</x:v>
      </x:c>
      <x:c r="W18" s="4" t="str">
        <x:v>false</x:v>
      </x:c>
      <x:c r="X18" s="14" t="str">
        <x:v>no_active_body</x:v>
      </x:c>
      <x:c r="Y18" s="14" t="str">
        <x:v>explicit_zero_body_gap</x:v>
      </x:c>
      <x:c r="Z18" s="4" t="str">
        <x:v>BD7DAAA5A06B7CB537294203DE327F994499C8154C8016BF99F19BEE252FB8B5</x:v>
      </x:c>
      <x:c r="AA18" s="14" t="str">
        <x:v>route_open_zero_body</x:v>
      </x:c>
      <x:c r="AB18" s="25" t="str">
        <x:v>0</x:v>
      </x:c>
      <x:c r="AC18" s="25" t="str">
        <x:v>0</x:v>
      </x:c>
      <x:c r="AD18" s="14" t="str"/>
      <x:c r="AE18" s="14" t="str">
        <x:v>no_lexical_reference</x:v>
      </x:c>
      <x:c r="AF18" s="4" t="str">
        <x:v>false</x:v>
      </x:c>
      <x:c r="AG18" s="25" t="str">
        <x:v>0</x:v>
      </x:c>
      <x:c r="AH18" s="25" t="str">
        <x:v>0</x:v>
      </x:c>
      <x:c r="AI18" s="14" t="str"/>
      <x:c r="AJ18" s="14" t="str">
        <x:v>explicit_zero_specialist_algebra_body</x:v>
      </x:c>
    </x:row>
    <x:row r="19" ht="46" customHeight="1">
      <x:c r="A19" s="14" t="str">
        <x:v>R018</x:v>
      </x:c>
      <x:c r="B19" s="4" t="str">
        <x:v>wa</x:v>
      </x:c>
      <x:c r="C19" s="4" t="str">
        <x:v>Walloon</x:v>
      </x:c>
      <x:c r="D19" s="4" t="str">
        <x:v>Western Romance</x:v>
      </x:c>
      <x:c r="E19" s="4" t="str">
        <x:v>Oïl</x:v>
      </x:c>
      <x:c r="F19" s="14" t="str">
        <x:v>regional standard</x:v>
      </x:c>
      <x:c r="G19" s="4" t="str">
        <x:v>Wallonia</x:v>
      </x:c>
      <x:c r="H19" s="4" t="str">
        <x:v>Latn</x:v>
      </x:c>
      <x:c r="I19" s="14" t="str">
        <x:v>core_expansion</x:v>
      </x:c>
      <x:c r="J19" s="4" t="str"/>
      <x:c r="K19" s="4" t="str">
        <x:v>revision-pinned source plus institutional lexicon</x:v>
      </x:c>
      <x:c r="L19" s="14" t="str">
        <x:v>No source acquired</x:v>
      </x:c>
      <x:c r="M19" s="4" t="str">
        <x:v>Walloon readers</x:v>
      </x:c>
      <x:c r="N19" s="4" t="str">
        <x:v>true</x:v>
      </x:c>
      <x:c r="O19" s="14" t="str">
        <x:v>French is not a proxy</x:v>
      </x:c>
      <x:c r="P19" s="25" t="str">
        <x:v>0</x:v>
      </x:c>
      <x:c r="Q19" s="25" t="str">
        <x:v>0</x:v>
      </x:c>
      <x:c r="R19" s="14" t="str"/>
      <x:c r="S19" s="14" t="str"/>
      <x:c r="T19" s="25" t="str">
        <x:v>0</x:v>
      </x:c>
      <x:c r="U19" s="25" t="str">
        <x:v>0</x:v>
      </x:c>
      <x:c r="V19" s="25" t="str">
        <x:v>0</x:v>
      </x:c>
      <x:c r="W19" s="4" t="str">
        <x:v>false</x:v>
      </x:c>
      <x:c r="X19" s="14" t="str">
        <x:v>no_active_body</x:v>
      </x:c>
      <x:c r="Y19" s="14" t="str">
        <x:v>explicit_zero_body_gap</x:v>
      </x:c>
      <x:c r="Z19" s="4" t="str">
        <x:v>BD7DAAA5A06B7CB537294203DE327F994499C8154C8016BF99F19BEE252FB8B5</x:v>
      </x:c>
      <x:c r="AA19" s="14" t="str">
        <x:v>route_open_zero_body</x:v>
      </x:c>
      <x:c r="AB19" s="25" t="str">
        <x:v>0</x:v>
      </x:c>
      <x:c r="AC19" s="25" t="str">
        <x:v>0</x:v>
      </x:c>
      <x:c r="AD19" s="14" t="str"/>
      <x:c r="AE19" s="14" t="str">
        <x:v>no_lexical_reference</x:v>
      </x:c>
      <x:c r="AF19" s="4" t="str">
        <x:v>false</x:v>
      </x:c>
      <x:c r="AG19" s="25" t="str">
        <x:v>0</x:v>
      </x:c>
      <x:c r="AH19" s="25" t="str">
        <x:v>0</x:v>
      </x:c>
      <x:c r="AI19" s="14" t="str"/>
      <x:c r="AJ19" s="14" t="str">
        <x:v>explicit_zero_specialist_algebra_body</x:v>
      </x:c>
    </x:row>
    <x:row r="20" ht="46" customHeight="1">
      <x:c r="A20" s="14" t="str">
        <x:v>R019</x:v>
      </x:c>
      <x:c r="B20" s="4" t="str">
        <x:v>pcd</x:v>
      </x:c>
      <x:c r="C20" s="4" t="str">
        <x:v>Picard</x:v>
      </x:c>
      <x:c r="D20" s="4" t="str">
        <x:v>Western Romance</x:v>
      </x:c>
      <x:c r="E20" s="4" t="str">
        <x:v>Oïl</x:v>
      </x:c>
      <x:c r="F20" s="14" t="str">
        <x:v>regional standard</x:v>
      </x:c>
      <x:c r="G20" s="4" t="str">
        <x:v>Picardy and Hainaut</x:v>
      </x:c>
      <x:c r="H20" s="4" t="str">
        <x:v>Latn</x:v>
      </x:c>
      <x:c r="I20" s="14" t="str">
        <x:v>core_expansion</x:v>
      </x:c>
      <x:c r="J20" s="4" t="str"/>
      <x:c r="K20" s="4" t="str">
        <x:v>revision-pinned source plus institutional lexicon</x:v>
      </x:c>
      <x:c r="L20" s="14" t="str">
        <x:v>No source acquired</x:v>
      </x:c>
      <x:c r="M20" s="4" t="str">
        <x:v>Picard readers</x:v>
      </x:c>
      <x:c r="N20" s="4" t="str">
        <x:v>true</x:v>
      </x:c>
      <x:c r="O20" s="14" t="str">
        <x:v>French is not a proxy</x:v>
      </x:c>
      <x:c r="P20" s="25" t="str">
        <x:v>0</x:v>
      </x:c>
      <x:c r="Q20" s="25" t="str">
        <x:v>0</x:v>
      </x:c>
      <x:c r="R20" s="14" t="str"/>
      <x:c r="S20" s="14" t="str"/>
      <x:c r="T20" s="25" t="str">
        <x:v>0</x:v>
      </x:c>
      <x:c r="U20" s="25" t="str">
        <x:v>0</x:v>
      </x:c>
      <x:c r="V20" s="25" t="str">
        <x:v>0</x:v>
      </x:c>
      <x:c r="W20" s="4" t="str">
        <x:v>false</x:v>
      </x:c>
      <x:c r="X20" s="14" t="str">
        <x:v>no_active_body</x:v>
      </x:c>
      <x:c r="Y20" s="14" t="str">
        <x:v>explicit_zero_body_gap</x:v>
      </x:c>
      <x:c r="Z20" s="4" t="str">
        <x:v>BD7DAAA5A06B7CB537294203DE327F994499C8154C8016BF99F19BEE252FB8B5</x:v>
      </x:c>
      <x:c r="AA20" s="14" t="str">
        <x:v>route_open_zero_body</x:v>
      </x:c>
      <x:c r="AB20" s="25" t="str">
        <x:v>0</x:v>
      </x:c>
      <x:c r="AC20" s="25" t="str">
        <x:v>0</x:v>
      </x:c>
      <x:c r="AD20" s="14" t="str"/>
      <x:c r="AE20" s="14" t="str">
        <x:v>no_lexical_reference</x:v>
      </x:c>
      <x:c r="AF20" s="4" t="str">
        <x:v>false</x:v>
      </x:c>
      <x:c r="AG20" s="25" t="str">
        <x:v>0</x:v>
      </x:c>
      <x:c r="AH20" s="25" t="str">
        <x:v>0</x:v>
      </x:c>
      <x:c r="AI20" s="14" t="str"/>
      <x:c r="AJ20" s="14" t="str">
        <x:v>explicit_zero_specialist_algebra_body</x:v>
      </x:c>
    </x:row>
    <x:row r="21" ht="46" customHeight="1">
      <x:c r="A21" s="14" t="str">
        <x:v>R020</x:v>
      </x:c>
      <x:c r="B21" s="4" t="str">
        <x:v>nrf</x:v>
      </x:c>
      <x:c r="C21" s="4" t="str">
        <x:v>Norman</x:v>
      </x:c>
      <x:c r="D21" s="4" t="str">
        <x:v>Western Romance</x:v>
      </x:c>
      <x:c r="E21" s="4" t="str">
        <x:v>Oïl</x:v>
      </x:c>
      <x:c r="F21" s="14" t="str">
        <x:v>regional standard</x:v>
      </x:c>
      <x:c r="G21" s="4" t="str">
        <x:v>Normandy and Channel Islands</x:v>
      </x:c>
      <x:c r="H21" s="4" t="str">
        <x:v>Latn</x:v>
      </x:c>
      <x:c r="I21" s="14" t="str">
        <x:v>core_expansion</x:v>
      </x:c>
      <x:c r="J21" s="4" t="str"/>
      <x:c r="K21" s="4" t="str">
        <x:v>revision-pinned source plus institutional lexicon</x:v>
      </x:c>
      <x:c r="L21" s="14" t="str">
        <x:v>No source acquired</x:v>
      </x:c>
      <x:c r="M21" s="4" t="str">
        <x:v>Norman readers</x:v>
      </x:c>
      <x:c r="N21" s="4" t="str">
        <x:v>true</x:v>
      </x:c>
      <x:c r="O21" s="14" t="str">
        <x:v>French is not a proxy</x:v>
      </x:c>
      <x:c r="P21" s="25" t="str">
        <x:v>0</x:v>
      </x:c>
      <x:c r="Q21" s="25" t="str">
        <x:v>0</x:v>
      </x:c>
      <x:c r="R21" s="14" t="str"/>
      <x:c r="S21" s="14" t="str"/>
      <x:c r="T21" s="25" t="str">
        <x:v>0</x:v>
      </x:c>
      <x:c r="U21" s="25" t="str">
        <x:v>0</x:v>
      </x:c>
      <x:c r="V21" s="25" t="str">
        <x:v>0</x:v>
      </x:c>
      <x:c r="W21" s="4" t="str">
        <x:v>false</x:v>
      </x:c>
      <x:c r="X21" s="14" t="str">
        <x:v>no_active_body</x:v>
      </x:c>
      <x:c r="Y21" s="14" t="str">
        <x:v>explicit_zero_body_gap</x:v>
      </x:c>
      <x:c r="Z21" s="4" t="str">
        <x:v>BD7DAAA5A06B7CB537294203DE327F994499C8154C8016BF99F19BEE252FB8B5</x:v>
      </x:c>
      <x:c r="AA21" s="14" t="str">
        <x:v>route_open_zero_body</x:v>
      </x:c>
      <x:c r="AB21" s="25" t="str">
        <x:v>0</x:v>
      </x:c>
      <x:c r="AC21" s="25" t="str">
        <x:v>0</x:v>
      </x:c>
      <x:c r="AD21" s="14" t="str"/>
      <x:c r="AE21" s="14" t="str">
        <x:v>no_lexical_reference</x:v>
      </x:c>
      <x:c r="AF21" s="4" t="str">
        <x:v>false</x:v>
      </x:c>
      <x:c r="AG21" s="25" t="str">
        <x:v>0</x:v>
      </x:c>
      <x:c r="AH21" s="25" t="str">
        <x:v>0</x:v>
      </x:c>
      <x:c r="AI21" s="14" t="str"/>
      <x:c r="AJ21" s="14" t="str">
        <x:v>explicit_zero_specialist_algebra_body</x:v>
      </x:c>
    </x:row>
    <x:row r="22" ht="46" customHeight="1">
      <x:c r="A22" s="14" t="str">
        <x:v>R021</x:v>
      </x:c>
      <x:c r="B22" s="4" t="str">
        <x:v>fr-gallo</x:v>
      </x:c>
      <x:c r="C22" s="4" t="str">
        <x:v>Gallo</x:v>
      </x:c>
      <x:c r="D22" s="4" t="str">
        <x:v>Western Romance</x:v>
      </x:c>
      <x:c r="E22" s="4" t="str">
        <x:v>Oïl</x:v>
      </x:c>
      <x:c r="F22" s="14" t="str">
        <x:v>regional standard</x:v>
      </x:c>
      <x:c r="G22" s="4" t="str">
        <x:v>Brittany and Maine</x:v>
      </x:c>
      <x:c r="H22" s="4" t="str">
        <x:v>Latn</x:v>
      </x:c>
      <x:c r="I22" s="14" t="str">
        <x:v>core_expansion</x:v>
      </x:c>
      <x:c r="J22" s="4" t="str"/>
      <x:c r="K22" s="4" t="str">
        <x:v>regional dictionary plus native technical source</x:v>
      </x:c>
      <x:c r="L22" s="14" t="str">
        <x:v>No source acquired</x:v>
      </x:c>
      <x:c r="M22" s="4" t="str">
        <x:v>Gallo readers</x:v>
      </x:c>
      <x:c r="N22" s="4" t="str">
        <x:v>true</x:v>
      </x:c>
      <x:c r="O22" s="14" t="str">
        <x:v>French is not a proxy</x:v>
      </x:c>
      <x:c r="P22" s="25" t="str">
        <x:v>0</x:v>
      </x:c>
      <x:c r="Q22" s="25" t="str">
        <x:v>0</x:v>
      </x:c>
      <x:c r="R22" s="14" t="str"/>
      <x:c r="S22" s="14" t="str"/>
      <x:c r="T22" s="25" t="str">
        <x:v>0</x:v>
      </x:c>
      <x:c r="U22" s="25" t="str">
        <x:v>0</x:v>
      </x:c>
      <x:c r="V22" s="25" t="str">
        <x:v>0</x:v>
      </x:c>
      <x:c r="W22" s="4" t="str">
        <x:v>false</x:v>
      </x:c>
      <x:c r="X22" s="14" t="str">
        <x:v>no_active_body</x:v>
      </x:c>
      <x:c r="Y22" s="14" t="str">
        <x:v>explicit_zero_body_gap</x:v>
      </x:c>
      <x:c r="Z22" s="4" t="str">
        <x:v>BD7DAAA5A06B7CB537294203DE327F994499C8154C8016BF99F19BEE252FB8B5</x:v>
      </x:c>
      <x:c r="AA22" s="14" t="str">
        <x:v>route_open_zero_body</x:v>
      </x:c>
      <x:c r="AB22" s="25" t="str">
        <x:v>0</x:v>
      </x:c>
      <x:c r="AC22" s="25" t="str">
        <x:v>0</x:v>
      </x:c>
      <x:c r="AD22" s="14" t="str"/>
      <x:c r="AE22" s="14" t="str">
        <x:v>no_lexical_reference</x:v>
      </x:c>
      <x:c r="AF22" s="4" t="str">
        <x:v>false</x:v>
      </x:c>
      <x:c r="AG22" s="25" t="str">
        <x:v>0</x:v>
      </x:c>
      <x:c r="AH22" s="25" t="str">
        <x:v>0</x:v>
      </x:c>
      <x:c r="AI22" s="14" t="str"/>
      <x:c r="AJ22" s="14" t="str">
        <x:v>explicit_zero_specialist_algebra_body</x:v>
      </x:c>
    </x:row>
    <x:row r="23" ht="46" customHeight="1">
      <x:c r="A23" s="14" t="str">
        <x:v>R022</x:v>
      </x:c>
      <x:c r="B23" s="4" t="str">
        <x:v>fr-bgm</x:v>
      </x:c>
      <x:c r="C23" s="4" t="str">
        <x:v>Burgundian-Morvandiau</x:v>
      </x:c>
      <x:c r="D23" s="4" t="str">
        <x:v>Western Romance</x:v>
      </x:c>
      <x:c r="E23" s="4" t="str">
        <x:v>Oïl</x:v>
      </x:c>
      <x:c r="F23" s="14" t="str">
        <x:v>regional standard</x:v>
      </x:c>
      <x:c r="G23" s="4" t="str">
        <x:v>Burgundy</x:v>
      </x:c>
      <x:c r="H23" s="4" t="str">
        <x:v>Latn</x:v>
      </x:c>
      <x:c r="I23" s="14" t="str">
        <x:v>core_expansion</x:v>
      </x:c>
      <x:c r="J23" s="4" t="str"/>
      <x:c r="K23" s="4" t="str">
        <x:v>regional dictionary plus native technical source</x:v>
      </x:c>
      <x:c r="L23" s="14" t="str">
        <x:v>No source acquired</x:v>
      </x:c>
      <x:c r="M23" s="4" t="str">
        <x:v>Burgundian readers</x:v>
      </x:c>
      <x:c r="N23" s="4" t="str">
        <x:v>true</x:v>
      </x:c>
      <x:c r="O23" s="14" t="str">
        <x:v>French is not a proxy</x:v>
      </x:c>
      <x:c r="P23" s="25" t="str">
        <x:v>0</x:v>
      </x:c>
      <x:c r="Q23" s="25" t="str">
        <x:v>0</x:v>
      </x:c>
      <x:c r="R23" s="14" t="str"/>
      <x:c r="S23" s="14" t="str"/>
      <x:c r="T23" s="25" t="str">
        <x:v>0</x:v>
      </x:c>
      <x:c r="U23" s="25" t="str">
        <x:v>0</x:v>
      </x:c>
      <x:c r="V23" s="25" t="str">
        <x:v>0</x:v>
      </x:c>
      <x:c r="W23" s="4" t="str">
        <x:v>false</x:v>
      </x:c>
      <x:c r="X23" s="14" t="str">
        <x:v>no_active_body</x:v>
      </x:c>
      <x:c r="Y23" s="14" t="str">
        <x:v>explicit_zero_body_gap</x:v>
      </x:c>
      <x:c r="Z23" s="4" t="str">
        <x:v>BD7DAAA5A06B7CB537294203DE327F994499C8154C8016BF99F19BEE252FB8B5</x:v>
      </x:c>
      <x:c r="AA23" s="14" t="str">
        <x:v>route_open_zero_body</x:v>
      </x:c>
      <x:c r="AB23" s="25" t="str">
        <x:v>0</x:v>
      </x:c>
      <x:c r="AC23" s="25" t="str">
        <x:v>0</x:v>
      </x:c>
      <x:c r="AD23" s="14" t="str"/>
      <x:c r="AE23" s="14" t="str">
        <x:v>no_lexical_reference</x:v>
      </x:c>
      <x:c r="AF23" s="4" t="str">
        <x:v>false</x:v>
      </x:c>
      <x:c r="AG23" s="25" t="str">
        <x:v>0</x:v>
      </x:c>
      <x:c r="AH23" s="25" t="str">
        <x:v>0</x:v>
      </x:c>
      <x:c r="AI23" s="14" t="str"/>
      <x:c r="AJ23" s="14" t="str">
        <x:v>explicit_zero_specialist_algebra_body</x:v>
      </x:c>
    </x:row>
    <x:row r="24" ht="46" customHeight="1">
      <x:c r="A24" s="14" t="str">
        <x:v>R023</x:v>
      </x:c>
      <x:c r="B24" s="4" t="str">
        <x:v>fr-fc</x:v>
      </x:c>
      <x:c r="C24" s="4" t="str">
        <x:v>Franc-Comtois</x:v>
      </x:c>
      <x:c r="D24" s="4" t="str">
        <x:v>Western Romance</x:v>
      </x:c>
      <x:c r="E24" s="4" t="str">
        <x:v>Oïl</x:v>
      </x:c>
      <x:c r="F24" s="14" t="str">
        <x:v>regional standard</x:v>
      </x:c>
      <x:c r="G24" s="4" t="str">
        <x:v>Franche-Comté and Swiss Jura</x:v>
      </x:c>
      <x:c r="H24" s="4" t="str">
        <x:v>Latn</x:v>
      </x:c>
      <x:c r="I24" s="14" t="str">
        <x:v>core_expansion</x:v>
      </x:c>
      <x:c r="J24" s="4" t="str"/>
      <x:c r="K24" s="4" t="str">
        <x:v>regional dictionary plus native technical source</x:v>
      </x:c>
      <x:c r="L24" s="14" t="str">
        <x:v>No source acquired</x:v>
      </x:c>
      <x:c r="M24" s="4" t="str">
        <x:v>Franc-Comtois readers</x:v>
      </x:c>
      <x:c r="N24" s="4" t="str">
        <x:v>true</x:v>
      </x:c>
      <x:c r="O24" s="14" t="str">
        <x:v>French is not a proxy</x:v>
      </x:c>
      <x:c r="P24" s="25" t="str">
        <x:v>0</x:v>
      </x:c>
      <x:c r="Q24" s="25" t="str">
        <x:v>0</x:v>
      </x:c>
      <x:c r="R24" s="14" t="str"/>
      <x:c r="S24" s="14" t="str"/>
      <x:c r="T24" s="25" t="str">
        <x:v>0</x:v>
      </x:c>
      <x:c r="U24" s="25" t="str">
        <x:v>0</x:v>
      </x:c>
      <x:c r="V24" s="25" t="str">
        <x:v>0</x:v>
      </x:c>
      <x:c r="W24" s="4" t="str">
        <x:v>false</x:v>
      </x:c>
      <x:c r="X24" s="14" t="str">
        <x:v>no_active_body</x:v>
      </x:c>
      <x:c r="Y24" s="14" t="str">
        <x:v>explicit_zero_body_gap</x:v>
      </x:c>
      <x:c r="Z24" s="4" t="str">
        <x:v>BD7DAAA5A06B7CB537294203DE327F994499C8154C8016BF99F19BEE252FB8B5</x:v>
      </x:c>
      <x:c r="AA24" s="14" t="str">
        <x:v>route_open_zero_body</x:v>
      </x:c>
      <x:c r="AB24" s="25" t="str">
        <x:v>0</x:v>
      </x:c>
      <x:c r="AC24" s="25" t="str">
        <x:v>0</x:v>
      </x:c>
      <x:c r="AD24" s="14" t="str"/>
      <x:c r="AE24" s="14" t="str">
        <x:v>no_lexical_reference</x:v>
      </x:c>
      <x:c r="AF24" s="4" t="str">
        <x:v>false</x:v>
      </x:c>
      <x:c r="AG24" s="25" t="str">
        <x:v>0</x:v>
      </x:c>
      <x:c r="AH24" s="25" t="str">
        <x:v>0</x:v>
      </x:c>
      <x:c r="AI24" s="14" t="str"/>
      <x:c r="AJ24" s="14" t="str">
        <x:v>explicit_zero_specialist_algebra_body</x:v>
      </x:c>
    </x:row>
    <x:row r="25" ht="46" customHeight="1">
      <x:c r="A25" s="14" t="str">
        <x:v>R024</x:v>
      </x:c>
      <x:c r="B25" s="4" t="str">
        <x:v>fr-champ</x:v>
      </x:c>
      <x:c r="C25" s="4" t="str">
        <x:v>Champenois</x:v>
      </x:c>
      <x:c r="D25" s="4" t="str">
        <x:v>Western Romance</x:v>
      </x:c>
      <x:c r="E25" s="4" t="str">
        <x:v>Oïl</x:v>
      </x:c>
      <x:c r="F25" s="14" t="str">
        <x:v>regional standard</x:v>
      </x:c>
      <x:c r="G25" s="4" t="str">
        <x:v>Champagne</x:v>
      </x:c>
      <x:c r="H25" s="4" t="str">
        <x:v>Latn</x:v>
      </x:c>
      <x:c r="I25" s="14" t="str">
        <x:v>core_expansion</x:v>
      </x:c>
      <x:c r="J25" s="4" t="str"/>
      <x:c r="K25" s="4" t="str">
        <x:v>regional dictionary plus native technical source</x:v>
      </x:c>
      <x:c r="L25" s="14" t="str">
        <x:v>No source acquired</x:v>
      </x:c>
      <x:c r="M25" s="4" t="str">
        <x:v>Champenois readers</x:v>
      </x:c>
      <x:c r="N25" s="4" t="str">
        <x:v>true</x:v>
      </x:c>
      <x:c r="O25" s="14" t="str">
        <x:v>French is not a proxy</x:v>
      </x:c>
      <x:c r="P25" s="25" t="str">
        <x:v>0</x:v>
      </x:c>
      <x:c r="Q25" s="25" t="str">
        <x:v>0</x:v>
      </x:c>
      <x:c r="R25" s="14" t="str"/>
      <x:c r="S25" s="14" t="str"/>
      <x:c r="T25" s="25" t="str">
        <x:v>0</x:v>
      </x:c>
      <x:c r="U25" s="25" t="str">
        <x:v>0</x:v>
      </x:c>
      <x:c r="V25" s="25" t="str">
        <x:v>0</x:v>
      </x:c>
      <x:c r="W25" s="4" t="str">
        <x:v>false</x:v>
      </x:c>
      <x:c r="X25" s="14" t="str">
        <x:v>no_active_body</x:v>
      </x:c>
      <x:c r="Y25" s="14" t="str">
        <x:v>explicit_zero_body_gap</x:v>
      </x:c>
      <x:c r="Z25" s="4" t="str">
        <x:v>BD7DAAA5A06B7CB537294203DE327F994499C8154C8016BF99F19BEE252FB8B5</x:v>
      </x:c>
      <x:c r="AA25" s="14" t="str">
        <x:v>route_open_zero_body</x:v>
      </x:c>
      <x:c r="AB25" s="25" t="str">
        <x:v>0</x:v>
      </x:c>
      <x:c r="AC25" s="25" t="str">
        <x:v>0</x:v>
      </x:c>
      <x:c r="AD25" s="14" t="str"/>
      <x:c r="AE25" s="14" t="str">
        <x:v>no_lexical_reference</x:v>
      </x:c>
      <x:c r="AF25" s="4" t="str">
        <x:v>false</x:v>
      </x:c>
      <x:c r="AG25" s="25" t="str">
        <x:v>0</x:v>
      </x:c>
      <x:c r="AH25" s="25" t="str">
        <x:v>0</x:v>
      </x:c>
      <x:c r="AI25" s="14" t="str"/>
      <x:c r="AJ25" s="14" t="str">
        <x:v>explicit_zero_specialist_algebra_body</x:v>
      </x:c>
    </x:row>
    <x:row r="26" ht="46" customHeight="1">
      <x:c r="A26" s="14" t="str">
        <x:v>R025</x:v>
      </x:c>
      <x:c r="B26" s="4" t="str">
        <x:v>fr-lor</x:v>
      </x:c>
      <x:c r="C26" s="4" t="str">
        <x:v>Lorrain</x:v>
      </x:c>
      <x:c r="D26" s="4" t="str">
        <x:v>Western Romance</x:v>
      </x:c>
      <x:c r="E26" s="4" t="str">
        <x:v>Oïl</x:v>
      </x:c>
      <x:c r="F26" s="14" t="str">
        <x:v>regional standard</x:v>
      </x:c>
      <x:c r="G26" s="4" t="str">
        <x:v>Lorraine</x:v>
      </x:c>
      <x:c r="H26" s="4" t="str">
        <x:v>Latn</x:v>
      </x:c>
      <x:c r="I26" s="14" t="str">
        <x:v>core_expansion</x:v>
      </x:c>
      <x:c r="J26" s="4" t="str"/>
      <x:c r="K26" s="4" t="str">
        <x:v>regional dictionary plus native technical source</x:v>
      </x:c>
      <x:c r="L26" s="14" t="str">
        <x:v>No source acquired</x:v>
      </x:c>
      <x:c r="M26" s="4" t="str">
        <x:v>Lorrain readers</x:v>
      </x:c>
      <x:c r="N26" s="4" t="str">
        <x:v>true</x:v>
      </x:c>
      <x:c r="O26" s="14" t="str">
        <x:v>French is not a proxy</x:v>
      </x:c>
      <x:c r="P26" s="25" t="str">
        <x:v>0</x:v>
      </x:c>
      <x:c r="Q26" s="25" t="str">
        <x:v>0</x:v>
      </x:c>
      <x:c r="R26" s="14" t="str"/>
      <x:c r="S26" s="14" t="str"/>
      <x:c r="T26" s="25" t="str">
        <x:v>0</x:v>
      </x:c>
      <x:c r="U26" s="25" t="str">
        <x:v>0</x:v>
      </x:c>
      <x:c r="V26" s="25" t="str">
        <x:v>0</x:v>
      </x:c>
      <x:c r="W26" s="4" t="str">
        <x:v>false</x:v>
      </x:c>
      <x:c r="X26" s="14" t="str">
        <x:v>no_active_body</x:v>
      </x:c>
      <x:c r="Y26" s="14" t="str">
        <x:v>explicit_zero_body_gap</x:v>
      </x:c>
      <x:c r="Z26" s="4" t="str">
        <x:v>BD7DAAA5A06B7CB537294203DE327F994499C8154C8016BF99F19BEE252FB8B5</x:v>
      </x:c>
      <x:c r="AA26" s="14" t="str">
        <x:v>route_open_zero_body</x:v>
      </x:c>
      <x:c r="AB26" s="25" t="str">
        <x:v>0</x:v>
      </x:c>
      <x:c r="AC26" s="25" t="str">
        <x:v>0</x:v>
      </x:c>
      <x:c r="AD26" s="14" t="str"/>
      <x:c r="AE26" s="14" t="str">
        <x:v>no_lexical_reference</x:v>
      </x:c>
      <x:c r="AF26" s="4" t="str">
        <x:v>false</x:v>
      </x:c>
      <x:c r="AG26" s="25" t="str">
        <x:v>0</x:v>
      </x:c>
      <x:c r="AH26" s="25" t="str">
        <x:v>0</x:v>
      </x:c>
      <x:c r="AI26" s="14" t="str"/>
      <x:c r="AJ26" s="14" t="str">
        <x:v>explicit_zero_specialist_algebra_body</x:v>
      </x:c>
    </x:row>
    <x:row r="27" ht="46" customHeight="1">
      <x:c r="A27" s="14" t="str">
        <x:v>R026</x:v>
      </x:c>
      <x:c r="B27" s="4" t="str">
        <x:v>fr-poit</x:v>
      </x:c>
      <x:c r="C27" s="4" t="str">
        <x:v>Poitevin-Saintongeais</x:v>
      </x:c>
      <x:c r="D27" s="4" t="str">
        <x:v>Western Romance</x:v>
      </x:c>
      <x:c r="E27" s="4" t="str">
        <x:v>Oïl</x:v>
      </x:c>
      <x:c r="F27" s="14" t="str">
        <x:v>regional standard</x:v>
      </x:c>
      <x:c r="G27" s="4" t="str">
        <x:v>West-central France</x:v>
      </x:c>
      <x:c r="H27" s="4" t="str">
        <x:v>Latn</x:v>
      </x:c>
      <x:c r="I27" s="14" t="str">
        <x:v>core_expansion</x:v>
      </x:c>
      <x:c r="J27" s="4" t="str"/>
      <x:c r="K27" s="4" t="str">
        <x:v>regional dictionary plus native technical source</x:v>
      </x:c>
      <x:c r="L27" s="14" t="str">
        <x:v>No source acquired</x:v>
      </x:c>
      <x:c r="M27" s="4" t="str">
        <x:v>Poitevin-Saintongeais readers</x:v>
      </x:c>
      <x:c r="N27" s="4" t="str">
        <x:v>true</x:v>
      </x:c>
      <x:c r="O27" s="14" t="str">
        <x:v>French is not a proxy</x:v>
      </x:c>
      <x:c r="P27" s="25" t="str">
        <x:v>0</x:v>
      </x:c>
      <x:c r="Q27" s="25" t="str">
        <x:v>0</x:v>
      </x:c>
      <x:c r="R27" s="14" t="str"/>
      <x:c r="S27" s="14" t="str"/>
      <x:c r="T27" s="25" t="str">
        <x:v>0</x:v>
      </x:c>
      <x:c r="U27" s="25" t="str">
        <x:v>0</x:v>
      </x:c>
      <x:c r="V27" s="25" t="str">
        <x:v>0</x:v>
      </x:c>
      <x:c r="W27" s="4" t="str">
        <x:v>false</x:v>
      </x:c>
      <x:c r="X27" s="14" t="str">
        <x:v>no_active_body</x:v>
      </x:c>
      <x:c r="Y27" s="14" t="str">
        <x:v>explicit_zero_body_gap</x:v>
      </x:c>
      <x:c r="Z27" s="4" t="str">
        <x:v>BD7DAAA5A06B7CB537294203DE327F994499C8154C8016BF99F19BEE252FB8B5</x:v>
      </x:c>
      <x:c r="AA27" s="14" t="str">
        <x:v>route_open_zero_body</x:v>
      </x:c>
      <x:c r="AB27" s="25" t="str">
        <x:v>0</x:v>
      </x:c>
      <x:c r="AC27" s="25" t="str">
        <x:v>0</x:v>
      </x:c>
      <x:c r="AD27" s="14" t="str"/>
      <x:c r="AE27" s="14" t="str">
        <x:v>no_lexical_reference</x:v>
      </x:c>
      <x:c r="AF27" s="4" t="str">
        <x:v>false</x:v>
      </x:c>
      <x:c r="AG27" s="25" t="str">
        <x:v>0</x:v>
      </x:c>
      <x:c r="AH27" s="25" t="str">
        <x:v>0</x:v>
      </x:c>
      <x:c r="AI27" s="14" t="str"/>
      <x:c r="AJ27" s="14" t="str">
        <x:v>explicit_zero_specialist_algebra_body</x:v>
      </x:c>
    </x:row>
    <x:row r="28" ht="46" customHeight="1">
      <x:c r="A28" s="14" t="str">
        <x:v>R027</x:v>
      </x:c>
      <x:c r="B28" s="4" t="str">
        <x:v>fro</x:v>
      </x:c>
      <x:c r="C28" s="4" t="str">
        <x:v>Old French</x:v>
      </x:c>
      <x:c r="D28" s="4" t="str">
        <x:v>Western Romance</x:v>
      </x:c>
      <x:c r="E28" s="4" t="str">
        <x:v>Oïl</x:v>
      </x:c>
      <x:c r="F28" s="14" t="str">
        <x:v>historical</x:v>
      </x:c>
      <x:c r="G28" s="4" t="str">
        <x:v>Medieval France</x:v>
      </x:c>
      <x:c r="H28" s="4" t="str">
        <x:v>Latn</x:v>
      </x:c>
      <x:c r="I28" s="14" t="str">
        <x:v>historical_diachronic</x:v>
      </x:c>
      <x:c r="J28" s="4" t="str"/>
      <x:c r="K28" s="4" t="str">
        <x:v>critical edition and historical dictionary</x:v>
      </x:c>
      <x:c r="L28" s="14" t="str">
        <x:v>No source acquired</x:v>
      </x:c>
      <x:c r="M28" s="4" t="str">
        <x:v>Historical evidence only</x:v>
      </x:c>
      <x:c r="N28" s="4" t="str">
        <x:v>true</x:v>
      </x:c>
      <x:c r="O28" s="14" t="str">
        <x:v>Not scored as a modern reader cohort</x:v>
      </x:c>
      <x:c r="P28" s="25" t="str">
        <x:v>0</x:v>
      </x:c>
      <x:c r="Q28" s="25" t="str">
        <x:v>0</x:v>
      </x:c>
      <x:c r="R28" s="14" t="str"/>
      <x:c r="S28" s="14" t="str"/>
      <x:c r="T28" s="25" t="str">
        <x:v>0</x:v>
      </x:c>
      <x:c r="U28" s="25" t="str">
        <x:v>0</x:v>
      </x:c>
      <x:c r="V28" s="25" t="str">
        <x:v>0</x:v>
      </x:c>
      <x:c r="W28" s="4" t="str">
        <x:v>false</x:v>
      </x:c>
      <x:c r="X28" s="14" t="str">
        <x:v>no_active_body</x:v>
      </x:c>
      <x:c r="Y28" s="14" t="str">
        <x:v>explicit_zero_body_gap</x:v>
      </x:c>
      <x:c r="Z28" s="4" t="str">
        <x:v>BD7DAAA5A06B7CB537294203DE327F994499C8154C8016BF99F19BEE252FB8B5</x:v>
      </x:c>
      <x:c r="AA28" s="14" t="str">
        <x:v>route_open_zero_body</x:v>
      </x:c>
      <x:c r="AB28" s="25" t="str">
        <x:v>0</x:v>
      </x:c>
      <x:c r="AC28" s="25" t="str">
        <x:v>0</x:v>
      </x:c>
      <x:c r="AD28" s="14" t="str"/>
      <x:c r="AE28" s="14" t="str">
        <x:v>no_lexical_reference</x:v>
      </x:c>
      <x:c r="AF28" s="4" t="str">
        <x:v>false</x:v>
      </x:c>
      <x:c r="AG28" s="25" t="str">
        <x:v>0</x:v>
      </x:c>
      <x:c r="AH28" s="25" t="str">
        <x:v>0</x:v>
      </x:c>
      <x:c r="AI28" s="14" t="str"/>
      <x:c r="AJ28" s="14" t="str">
        <x:v>explicit_zero_specialist_algebra_body</x:v>
      </x:c>
    </x:row>
    <x:row r="29" ht="46" customHeight="1">
      <x:c r="A29" s="14" t="str">
        <x:v>R028</x:v>
      </x:c>
      <x:c r="B29" s="4" t="str">
        <x:v>fur</x:v>
      </x:c>
      <x:c r="C29" s="4" t="str">
        <x:v>Friulian</x:v>
      </x:c>
      <x:c r="D29" s="4" t="str">
        <x:v>Rhaeto-Romance</x:v>
      </x:c>
      <x:c r="E29" s="4" t="str">
        <x:v>Friulian</x:v>
      </x:c>
      <x:c r="F29" s="14" t="str">
        <x:v>standard</x:v>
      </x:c>
      <x:c r="G29" s="4" t="str">
        <x:v>Friuli</x:v>
      </x:c>
      <x:c r="H29" s="4" t="str">
        <x:v>Latn</x:v>
      </x:c>
      <x:c r="I29" s="14" t="str">
        <x:v>core_expansion</x:v>
      </x:c>
      <x:c r="J29" s="4" t="str"/>
      <x:c r="K29" s="4" t="str">
        <x:v>institutional lexicon plus native mathematics or education source</x:v>
      </x:c>
      <x:c r="L29" s="14" t="str">
        <x:v>No source acquired</x:v>
      </x:c>
      <x:c r="M29" s="4" t="str">
        <x:v>Friulian readers</x:v>
      </x:c>
      <x:c r="N29" s="4" t="str">
        <x:v>true</x:v>
      </x:c>
      <x:c r="O29" s="14" t="str">
        <x:v>Italian is not a proxy</x:v>
      </x:c>
      <x:c r="P29" s="25" t="str">
        <x:v>0</x:v>
      </x:c>
      <x:c r="Q29" s="25" t="str">
        <x:v>0</x:v>
      </x:c>
      <x:c r="R29" s="14" t="str"/>
      <x:c r="S29" s="14" t="str"/>
      <x:c r="T29" s="25" t="str">
        <x:v>0</x:v>
      </x:c>
      <x:c r="U29" s="25" t="str">
        <x:v>0</x:v>
      </x:c>
      <x:c r="V29" s="25" t="str">
        <x:v>0</x:v>
      </x:c>
      <x:c r="W29" s="4" t="str">
        <x:v>false</x:v>
      </x:c>
      <x:c r="X29" s="14" t="str">
        <x:v>no_active_body</x:v>
      </x:c>
      <x:c r="Y29" s="14" t="str">
        <x:v>explicit_zero_body_gap</x:v>
      </x:c>
      <x:c r="Z29" s="4" t="str">
        <x:v>BD7DAAA5A06B7CB537294203DE327F994499C8154C8016BF99F19BEE252FB8B5</x:v>
      </x:c>
      <x:c r="AA29" s="14" t="str">
        <x:v>route_open_zero_body</x:v>
      </x:c>
      <x:c r="AB29" s="25" t="str">
        <x:v>0</x:v>
      </x:c>
      <x:c r="AC29" s="25" t="str">
        <x:v>0</x:v>
      </x:c>
      <x:c r="AD29" s="14" t="str"/>
      <x:c r="AE29" s="14" t="str">
        <x:v>no_lexical_reference</x:v>
      </x:c>
      <x:c r="AF29" s="4" t="str">
        <x:v>false</x:v>
      </x:c>
      <x:c r="AG29" s="25" t="str">
        <x:v>0</x:v>
      </x:c>
      <x:c r="AH29" s="25" t="str">
        <x:v>0</x:v>
      </x:c>
      <x:c r="AI29" s="14" t="str"/>
      <x:c r="AJ29" s="14" t="str">
        <x:v>explicit_zero_specialist_algebra_body</x:v>
      </x:c>
    </x:row>
    <x:row r="30" ht="46" customHeight="1">
      <x:c r="A30" s="14" t="str">
        <x:v>R029</x:v>
      </x:c>
      <x:c r="B30" s="4" t="str">
        <x:v>lld</x:v>
      </x:c>
      <x:c r="C30" s="4" t="str">
        <x:v>Ladin</x:v>
      </x:c>
      <x:c r="D30" s="4" t="str">
        <x:v>Rhaeto-Romance</x:v>
      </x:c>
      <x:c r="E30" s="4" t="str">
        <x:v>Ladin</x:v>
      </x:c>
      <x:c r="F30" s="14" t="str">
        <x:v>standards by valley</x:v>
      </x:c>
      <x:c r="G30" s="4" t="str">
        <x:v>Dolomites</x:v>
      </x:c>
      <x:c r="H30" s="4" t="str">
        <x:v>Latn</x:v>
      </x:c>
      <x:c r="I30" s="14" t="str">
        <x:v>core_expansion</x:v>
      </x:c>
      <x:c r="J30" s="4" t="str"/>
      <x:c r="K30" s="4" t="str">
        <x:v>valley-tagged institutional lexicon plus native technical source</x:v>
      </x:c>
      <x:c r="L30" s="14" t="str">
        <x:v>No source acquired</x:v>
      </x:c>
      <x:c r="M30" s="4" t="str">
        <x:v>Ladin readers by standard</x:v>
      </x:c>
      <x:c r="N30" s="4" t="str">
        <x:v>true</x:v>
      </x:c>
      <x:c r="O30" s="14" t="str">
        <x:v>Italian and Romansh are adjacent only</x:v>
      </x:c>
      <x:c r="P30" s="25" t="str">
        <x:v>0</x:v>
      </x:c>
      <x:c r="Q30" s="25" t="str">
        <x:v>0</x:v>
      </x:c>
      <x:c r="R30" s="14" t="str"/>
      <x:c r="S30" s="14" t="str"/>
      <x:c r="T30" s="25" t="str">
        <x:v>0</x:v>
      </x:c>
      <x:c r="U30" s="25" t="str">
        <x:v>0</x:v>
      </x:c>
      <x:c r="V30" s="25" t="str">
        <x:v>0</x:v>
      </x:c>
      <x:c r="W30" s="4" t="str">
        <x:v>false</x:v>
      </x:c>
      <x:c r="X30" s="14" t="str">
        <x:v>no_active_body</x:v>
      </x:c>
      <x:c r="Y30" s="14" t="str">
        <x:v>explicit_zero_body_gap</x:v>
      </x:c>
      <x:c r="Z30" s="4" t="str">
        <x:v>BD7DAAA5A06B7CB537294203DE327F994499C8154C8016BF99F19BEE252FB8B5</x:v>
      </x:c>
      <x:c r="AA30" s="14" t="str">
        <x:v>route_open_zero_body</x:v>
      </x:c>
      <x:c r="AB30" s="25" t="str">
        <x:v>0</x:v>
      </x:c>
      <x:c r="AC30" s="25" t="str">
        <x:v>0</x:v>
      </x:c>
      <x:c r="AD30" s="14" t="str"/>
      <x:c r="AE30" s="14" t="str">
        <x:v>no_lexical_reference</x:v>
      </x:c>
      <x:c r="AF30" s="4" t="str">
        <x:v>false</x:v>
      </x:c>
      <x:c r="AG30" s="25" t="str">
        <x:v>0</x:v>
      </x:c>
      <x:c r="AH30" s="25" t="str">
        <x:v>0</x:v>
      </x:c>
      <x:c r="AI30" s="14" t="str"/>
      <x:c r="AJ30" s="14" t="str">
        <x:v>explicit_zero_specialist_algebra_body</x:v>
      </x:c>
    </x:row>
    <x:row r="31" ht="46" customHeight="1">
      <x:c r="A31" s="14" t="str">
        <x:v>R030</x:v>
      </x:c>
      <x:c r="B31" s="4" t="str">
        <x:v>pms</x:v>
      </x:c>
      <x:c r="C31" s="4" t="str">
        <x:v>Piedmontese</x:v>
      </x:c>
      <x:c r="D31" s="4" t="str">
        <x:v>Western Romance</x:v>
      </x:c>
      <x:c r="E31" s="4" t="str">
        <x:v>Gallo-Italic</x:v>
      </x:c>
      <x:c r="F31" s="14" t="str">
        <x:v>regional standard</x:v>
      </x:c>
      <x:c r="G31" s="4" t="str">
        <x:v>Piedmont</x:v>
      </x:c>
      <x:c r="H31" s="4" t="str">
        <x:v>Latn</x:v>
      </x:c>
      <x:c r="I31" s="14" t="str">
        <x:v>core_expansion</x:v>
      </x:c>
      <x:c r="J31" s="4" t="str"/>
      <x:c r="K31" s="4" t="str">
        <x:v>regional dictionary plus native technical source</x:v>
      </x:c>
      <x:c r="L31" s="14" t="str">
        <x:v>No source acquired</x:v>
      </x:c>
      <x:c r="M31" s="4" t="str">
        <x:v>Piedmontese readers</x:v>
      </x:c>
      <x:c r="N31" s="4" t="str">
        <x:v>true</x:v>
      </x:c>
      <x:c r="O31" s="14" t="str">
        <x:v>Italian is not a proxy</x:v>
      </x:c>
      <x:c r="P31" s="25" t="str">
        <x:v>0</x:v>
      </x:c>
      <x:c r="Q31" s="25" t="str">
        <x:v>0</x:v>
      </x:c>
      <x:c r="R31" s="14" t="str"/>
      <x:c r="S31" s="14" t="str"/>
      <x:c r="T31" s="25" t="str">
        <x:v>0</x:v>
      </x:c>
      <x:c r="U31" s="25" t="str">
        <x:v>0</x:v>
      </x:c>
      <x:c r="V31" s="25" t="str">
        <x:v>0</x:v>
      </x:c>
      <x:c r="W31" s="4" t="str">
        <x:v>false</x:v>
      </x:c>
      <x:c r="X31" s="14" t="str">
        <x:v>no_active_body</x:v>
      </x:c>
      <x:c r="Y31" s="14" t="str">
        <x:v>explicit_zero_body_gap</x:v>
      </x:c>
      <x:c r="Z31" s="4" t="str">
        <x:v>BD7DAAA5A06B7CB537294203DE327F994499C8154C8016BF99F19BEE252FB8B5</x:v>
      </x:c>
      <x:c r="AA31" s="14" t="str">
        <x:v>route_open_zero_body</x:v>
      </x:c>
      <x:c r="AB31" s="25" t="str">
        <x:v>0</x:v>
      </x:c>
      <x:c r="AC31" s="25" t="str">
        <x:v>0</x:v>
      </x:c>
      <x:c r="AD31" s="14" t="str"/>
      <x:c r="AE31" s="14" t="str">
        <x:v>no_lexical_reference</x:v>
      </x:c>
      <x:c r="AF31" s="4" t="str">
        <x:v>false</x:v>
      </x:c>
      <x:c r="AG31" s="25" t="str">
        <x:v>0</x:v>
      </x:c>
      <x:c r="AH31" s="25" t="str">
        <x:v>0</x:v>
      </x:c>
      <x:c r="AI31" s="14" t="str"/>
      <x:c r="AJ31" s="14" t="str">
        <x:v>explicit_zero_specialist_algebra_body</x:v>
      </x:c>
    </x:row>
    <x:row r="32" ht="46" customHeight="1">
      <x:c r="A32" s="14" t="str">
        <x:v>R031</x:v>
      </x:c>
      <x:c r="B32" s="4" t="str">
        <x:v>lmo</x:v>
      </x:c>
      <x:c r="C32" s="4" t="str">
        <x:v>Lombard</x:v>
      </x:c>
      <x:c r="D32" s="4" t="str">
        <x:v>Western Romance</x:v>
      </x:c>
      <x:c r="E32" s="4" t="str">
        <x:v>Gallo-Italic</x:v>
      </x:c>
      <x:c r="F32" s="14" t="str">
        <x:v>regional standards</x:v>
      </x:c>
      <x:c r="G32" s="4" t="str">
        <x:v>Lombardy and Swiss Ticino</x:v>
      </x:c>
      <x:c r="H32" s="4" t="str">
        <x:v>Latn</x:v>
      </x:c>
      <x:c r="I32" s="14" t="str">
        <x:v>core_expansion</x:v>
      </x:c>
      <x:c r="J32" s="4" t="str"/>
      <x:c r="K32" s="4" t="str">
        <x:v>region-tagged dictionary plus native technical source</x:v>
      </x:c>
      <x:c r="L32" s="14" t="str">
        <x:v>No source acquired</x:v>
      </x:c>
      <x:c r="M32" s="4" t="str">
        <x:v>Lombard readers by region</x:v>
      </x:c>
      <x:c r="N32" s="4" t="str">
        <x:v>true</x:v>
      </x:c>
      <x:c r="O32" s="14" t="str">
        <x:v>Italian is not a proxy</x:v>
      </x:c>
      <x:c r="P32" s="25" t="str">
        <x:v>0</x:v>
      </x:c>
      <x:c r="Q32" s="25" t="str">
        <x:v>0</x:v>
      </x:c>
      <x:c r="R32" s="14" t="str"/>
      <x:c r="S32" s="14" t="str"/>
      <x:c r="T32" s="25" t="str">
        <x:v>0</x:v>
      </x:c>
      <x:c r="U32" s="25" t="str">
        <x:v>0</x:v>
      </x:c>
      <x:c r="V32" s="25" t="str">
        <x:v>0</x:v>
      </x:c>
      <x:c r="W32" s="4" t="str">
        <x:v>false</x:v>
      </x:c>
      <x:c r="X32" s="14" t="str">
        <x:v>no_active_body</x:v>
      </x:c>
      <x:c r="Y32" s="14" t="str">
        <x:v>explicit_zero_body_gap</x:v>
      </x:c>
      <x:c r="Z32" s="4" t="str">
        <x:v>BD7DAAA5A06B7CB537294203DE327F994499C8154C8016BF99F19BEE252FB8B5</x:v>
      </x:c>
      <x:c r="AA32" s="14" t="str">
        <x:v>route_open_zero_body</x:v>
      </x:c>
      <x:c r="AB32" s="25" t="str">
        <x:v>0</x:v>
      </x:c>
      <x:c r="AC32" s="25" t="str">
        <x:v>0</x:v>
      </x:c>
      <x:c r="AD32" s="14" t="str"/>
      <x:c r="AE32" s="14" t="str">
        <x:v>no_lexical_reference</x:v>
      </x:c>
      <x:c r="AF32" s="4" t="str">
        <x:v>false</x:v>
      </x:c>
      <x:c r="AG32" s="25" t="str">
        <x:v>0</x:v>
      </x:c>
      <x:c r="AH32" s="25" t="str">
        <x:v>0</x:v>
      </x:c>
      <x:c r="AI32" s="14" t="str"/>
      <x:c r="AJ32" s="14" t="str">
        <x:v>explicit_zero_specialist_algebra_body</x:v>
      </x:c>
    </x:row>
    <x:row r="33" ht="46" customHeight="1">
      <x:c r="A33" s="14" t="str">
        <x:v>R032</x:v>
      </x:c>
      <x:c r="B33" s="4" t="str">
        <x:v>lij</x:v>
      </x:c>
      <x:c r="C33" s="4" t="str">
        <x:v>Ligurian</x:v>
      </x:c>
      <x:c r="D33" s="4" t="str">
        <x:v>Western Romance</x:v>
      </x:c>
      <x:c r="E33" s="4" t="str">
        <x:v>Gallo-Italic</x:v>
      </x:c>
      <x:c r="F33" s="14" t="str">
        <x:v>regional standard</x:v>
      </x:c>
      <x:c r="G33" s="4" t="str">
        <x:v>Liguria and Monaco</x:v>
      </x:c>
      <x:c r="H33" s="4" t="str">
        <x:v>Latn</x:v>
      </x:c>
      <x:c r="I33" s="14" t="str">
        <x:v>core_expansion</x:v>
      </x:c>
      <x:c r="J33" s="4" t="str"/>
      <x:c r="K33" s="4" t="str">
        <x:v>regional dictionary plus native technical source</x:v>
      </x:c>
      <x:c r="L33" s="14" t="str">
        <x:v>No source acquired</x:v>
      </x:c>
      <x:c r="M33" s="4" t="str">
        <x:v>Ligurian readers</x:v>
      </x:c>
      <x:c r="N33" s="4" t="str">
        <x:v>true</x:v>
      </x:c>
      <x:c r="O33" s="14" t="str">
        <x:v>Italian is not a proxy</x:v>
      </x:c>
      <x:c r="P33" s="25" t="str">
        <x:v>0</x:v>
      </x:c>
      <x:c r="Q33" s="25" t="str">
        <x:v>0</x:v>
      </x:c>
      <x:c r="R33" s="14" t="str"/>
      <x:c r="S33" s="14" t="str"/>
      <x:c r="T33" s="25" t="str">
        <x:v>0</x:v>
      </x:c>
      <x:c r="U33" s="25" t="str">
        <x:v>0</x:v>
      </x:c>
      <x:c r="V33" s="25" t="str">
        <x:v>0</x:v>
      </x:c>
      <x:c r="W33" s="4" t="str">
        <x:v>false</x:v>
      </x:c>
      <x:c r="X33" s="14" t="str">
        <x:v>no_active_body</x:v>
      </x:c>
      <x:c r="Y33" s="14" t="str">
        <x:v>explicit_zero_body_gap</x:v>
      </x:c>
      <x:c r="Z33" s="4" t="str">
        <x:v>BD7DAAA5A06B7CB537294203DE327F994499C8154C8016BF99F19BEE252FB8B5</x:v>
      </x:c>
      <x:c r="AA33" s="14" t="str">
        <x:v>route_open_zero_body</x:v>
      </x:c>
      <x:c r="AB33" s="25" t="str">
        <x:v>0</x:v>
      </x:c>
      <x:c r="AC33" s="25" t="str">
        <x:v>0</x:v>
      </x:c>
      <x:c r="AD33" s="14" t="str"/>
      <x:c r="AE33" s="14" t="str">
        <x:v>no_lexical_reference</x:v>
      </x:c>
      <x:c r="AF33" s="4" t="str">
        <x:v>false</x:v>
      </x:c>
      <x:c r="AG33" s="25" t="str">
        <x:v>0</x:v>
      </x:c>
      <x:c r="AH33" s="25" t="str">
        <x:v>0</x:v>
      </x:c>
      <x:c r="AI33" s="14" t="str"/>
      <x:c r="AJ33" s="14" t="str">
        <x:v>explicit_zero_specialist_algebra_body</x:v>
      </x:c>
    </x:row>
    <x:row r="34" ht="46" customHeight="1">
      <x:c r="A34" s="14" t="str">
        <x:v>R033</x:v>
      </x:c>
      <x:c r="B34" s="4" t="str">
        <x:v>gii-emr</x:v>
      </x:c>
      <x:c r="C34" s="4" t="str">
        <x:v>Emilian-Romagnol</x:v>
      </x:c>
      <x:c r="D34" s="4" t="str">
        <x:v>Western Romance</x:v>
      </x:c>
      <x:c r="E34" s="4" t="str">
        <x:v>Gallo-Italic</x:v>
      </x:c>
      <x:c r="F34" s="14" t="str">
        <x:v>regional continuum</x:v>
      </x:c>
      <x:c r="G34" s="4" t="str">
        <x:v>Emilia-Romagna and nearby regions</x:v>
      </x:c>
      <x:c r="H34" s="4" t="str">
        <x:v>Latn</x:v>
      </x:c>
      <x:c r="I34" s="14" t="str">
        <x:v>core_expansion</x:v>
      </x:c>
      <x:c r="J34" s="4" t="str"/>
      <x:c r="K34" s="4" t="str">
        <x:v>Emilian and Romagnol tagged dictionaries plus native technical sources</x:v>
      </x:c>
      <x:c r="L34" s="14" t="str">
        <x:v>No source acquired</x:v>
      </x:c>
      <x:c r="M34" s="4" t="str">
        <x:v>Separate Emilian and Romagnol sampling</x:v>
      </x:c>
      <x:c r="N34" s="4" t="str">
        <x:v>true</x:v>
      </x:c>
      <x:c r="O34" s="14" t="str">
        <x:v>Italian is not a proxy</x:v>
      </x:c>
      <x:c r="P34" s="25" t="str">
        <x:v>0</x:v>
      </x:c>
      <x:c r="Q34" s="25" t="str">
        <x:v>0</x:v>
      </x:c>
      <x:c r="R34" s="14" t="str"/>
      <x:c r="S34" s="14" t="str"/>
      <x:c r="T34" s="25" t="str">
        <x:v>0</x:v>
      </x:c>
      <x:c r="U34" s="25" t="str">
        <x:v>0</x:v>
      </x:c>
      <x:c r="V34" s="25" t="str">
        <x:v>0</x:v>
      </x:c>
      <x:c r="W34" s="4" t="str">
        <x:v>false</x:v>
      </x:c>
      <x:c r="X34" s="14" t="str">
        <x:v>no_active_body</x:v>
      </x:c>
      <x:c r="Y34" s="14" t="str">
        <x:v>explicit_zero_body_gap</x:v>
      </x:c>
      <x:c r="Z34" s="4" t="str">
        <x:v>BD7DAAA5A06B7CB537294203DE327F994499C8154C8016BF99F19BEE252FB8B5</x:v>
      </x:c>
      <x:c r="AA34" s="14" t="str">
        <x:v>route_open_zero_body</x:v>
      </x:c>
      <x:c r="AB34" s="25" t="str">
        <x:v>0</x:v>
      </x:c>
      <x:c r="AC34" s="25" t="str">
        <x:v>0</x:v>
      </x:c>
      <x:c r="AD34" s="14" t="str"/>
      <x:c r="AE34" s="14" t="str">
        <x:v>no_lexical_reference</x:v>
      </x:c>
      <x:c r="AF34" s="4" t="str">
        <x:v>false</x:v>
      </x:c>
      <x:c r="AG34" s="25" t="str">
        <x:v>0</x:v>
      </x:c>
      <x:c r="AH34" s="25" t="str">
        <x:v>0</x:v>
      </x:c>
      <x:c r="AI34" s="14" t="str"/>
      <x:c r="AJ34" s="14" t="str">
        <x:v>explicit_zero_specialist_algebra_body</x:v>
      </x:c>
    </x:row>
    <x:row r="35" ht="46" customHeight="1">
      <x:c r="A35" s="14" t="str">
        <x:v>R034</x:v>
      </x:c>
      <x:c r="B35" s="4" t="str">
        <x:v>vec</x:v>
      </x:c>
      <x:c r="C35" s="4" t="str">
        <x:v>Venetian</x:v>
      </x:c>
      <x:c r="D35" s="4" t="str">
        <x:v>Western Romance</x:v>
      </x:c>
      <x:c r="E35" s="4" t="str">
        <x:v>Venetan</x:v>
      </x:c>
      <x:c r="F35" s="14" t="str">
        <x:v>regional standard</x:v>
      </x:c>
      <x:c r="G35" s="4" t="str">
        <x:v>Veneto and nearby regions</x:v>
      </x:c>
      <x:c r="H35" s="4" t="str">
        <x:v>Latn</x:v>
      </x:c>
      <x:c r="I35" s="14" t="str">
        <x:v>core_expansion</x:v>
      </x:c>
      <x:c r="J35" s="4" t="str"/>
      <x:c r="K35" s="4" t="str">
        <x:v>regional dictionary plus native technical source</x:v>
      </x:c>
      <x:c r="L35" s="14" t="str">
        <x:v>No source acquired</x:v>
      </x:c>
      <x:c r="M35" s="4" t="str">
        <x:v>Venetian readers</x:v>
      </x:c>
      <x:c r="N35" s="4" t="str">
        <x:v>true</x:v>
      </x:c>
      <x:c r="O35" s="14" t="str">
        <x:v>Italian is not a proxy</x:v>
      </x:c>
      <x:c r="P35" s="25" t="str">
        <x:v>0</x:v>
      </x:c>
      <x:c r="Q35" s="25" t="str">
        <x:v>0</x:v>
      </x:c>
      <x:c r="R35" s="14" t="str"/>
      <x:c r="S35" s="14" t="str"/>
      <x:c r="T35" s="25" t="str">
        <x:v>0</x:v>
      </x:c>
      <x:c r="U35" s="25" t="str">
        <x:v>0</x:v>
      </x:c>
      <x:c r="V35" s="25" t="str">
        <x:v>0</x:v>
      </x:c>
      <x:c r="W35" s="4" t="str">
        <x:v>false</x:v>
      </x:c>
      <x:c r="X35" s="14" t="str">
        <x:v>no_active_body</x:v>
      </x:c>
      <x:c r="Y35" s="14" t="str">
        <x:v>explicit_zero_body_gap</x:v>
      </x:c>
      <x:c r="Z35" s="4" t="str">
        <x:v>BD7DAAA5A06B7CB537294203DE327F994499C8154C8016BF99F19BEE252FB8B5</x:v>
      </x:c>
      <x:c r="AA35" s="14" t="str">
        <x:v>route_open_zero_body</x:v>
      </x:c>
      <x:c r="AB35" s="25" t="str">
        <x:v>0</x:v>
      </x:c>
      <x:c r="AC35" s="25" t="str">
        <x:v>0</x:v>
      </x:c>
      <x:c r="AD35" s="14" t="str"/>
      <x:c r="AE35" s="14" t="str">
        <x:v>no_lexical_reference</x:v>
      </x:c>
      <x:c r="AF35" s="4" t="str">
        <x:v>false</x:v>
      </x:c>
      <x:c r="AG35" s="25" t="str">
        <x:v>0</x:v>
      </x:c>
      <x:c r="AH35" s="25" t="str">
        <x:v>0</x:v>
      </x:c>
      <x:c r="AI35" s="14" t="str"/>
      <x:c r="AJ35" s="14" t="str">
        <x:v>explicit_zero_specialist_algebra_body</x:v>
      </x:c>
    </x:row>
    <x:row r="36" ht="46" customHeight="1">
      <x:c r="A36" s="14" t="str">
        <x:v>R035</x:v>
      </x:c>
      <x:c r="B36" s="4" t="str">
        <x:v>nap</x:v>
      </x:c>
      <x:c r="C36" s="4" t="str">
        <x:v>Neapolitan</x:v>
      </x:c>
      <x:c r="D36" s="4" t="str">
        <x:v>Western Romance</x:v>
      </x:c>
      <x:c r="E36" s="4" t="str">
        <x:v>Italo-Dalmatian</x:v>
      </x:c>
      <x:c r="F36" s="14" t="str">
        <x:v>regional standard</x:v>
      </x:c>
      <x:c r="G36" s="4" t="str">
        <x:v>Southern mainland Italy</x:v>
      </x:c>
      <x:c r="H36" s="4" t="str">
        <x:v>Latn</x:v>
      </x:c>
      <x:c r="I36" s="14" t="str">
        <x:v>core_expansion</x:v>
      </x:c>
      <x:c r="J36" s="4" t="str"/>
      <x:c r="K36" s="4" t="str">
        <x:v>regional dictionary plus native technical source</x:v>
      </x:c>
      <x:c r="L36" s="14" t="str">
        <x:v>No source acquired</x:v>
      </x:c>
      <x:c r="M36" s="4" t="str">
        <x:v>Neapolitan readers</x:v>
      </x:c>
      <x:c r="N36" s="4" t="str">
        <x:v>true</x:v>
      </x:c>
      <x:c r="O36" s="14" t="str">
        <x:v>Italian is not a proxy</x:v>
      </x:c>
      <x:c r="P36" s="25" t="str">
        <x:v>0</x:v>
      </x:c>
      <x:c r="Q36" s="25" t="str">
        <x:v>0</x:v>
      </x:c>
      <x:c r="R36" s="14" t="str"/>
      <x:c r="S36" s="14" t="str"/>
      <x:c r="T36" s="25" t="str">
        <x:v>0</x:v>
      </x:c>
      <x:c r="U36" s="25" t="str">
        <x:v>0</x:v>
      </x:c>
      <x:c r="V36" s="25" t="str">
        <x:v>0</x:v>
      </x:c>
      <x:c r="W36" s="4" t="str">
        <x:v>false</x:v>
      </x:c>
      <x:c r="X36" s="14" t="str">
        <x:v>no_active_body</x:v>
      </x:c>
      <x:c r="Y36" s="14" t="str">
        <x:v>explicit_zero_body_gap</x:v>
      </x:c>
      <x:c r="Z36" s="4" t="str">
        <x:v>BD7DAAA5A06B7CB537294203DE327F994499C8154C8016BF99F19BEE252FB8B5</x:v>
      </x:c>
      <x:c r="AA36" s="14" t="str">
        <x:v>route_open_zero_body</x:v>
      </x:c>
      <x:c r="AB36" s="25" t="str">
        <x:v>0</x:v>
      </x:c>
      <x:c r="AC36" s="25" t="str">
        <x:v>0</x:v>
      </x:c>
      <x:c r="AD36" s="14" t="str"/>
      <x:c r="AE36" s="14" t="str">
        <x:v>no_lexical_reference</x:v>
      </x:c>
      <x:c r="AF36" s="4" t="str">
        <x:v>false</x:v>
      </x:c>
      <x:c r="AG36" s="25" t="str">
        <x:v>0</x:v>
      </x:c>
      <x:c r="AH36" s="25" t="str">
        <x:v>0</x:v>
      </x:c>
      <x:c r="AI36" s="14" t="str"/>
      <x:c r="AJ36" s="14" t="str">
        <x:v>explicit_zero_specialist_algebra_body</x:v>
      </x:c>
    </x:row>
    <x:row r="37" ht="46" customHeight="1">
      <x:c r="A37" s="14" t="str">
        <x:v>R036</x:v>
      </x:c>
      <x:c r="B37" s="4" t="str">
        <x:v>scn</x:v>
      </x:c>
      <x:c r="C37" s="4" t="str">
        <x:v>Sicilian</x:v>
      </x:c>
      <x:c r="D37" s="4" t="str">
        <x:v>Western Romance</x:v>
      </x:c>
      <x:c r="E37" s="4" t="str">
        <x:v>Italo-Dalmatian</x:v>
      </x:c>
      <x:c r="F37" s="14" t="str">
        <x:v>regional standard</x:v>
      </x:c>
      <x:c r="G37" s="4" t="str">
        <x:v>Sicily and southern Calabria</x:v>
      </x:c>
      <x:c r="H37" s="4" t="str">
        <x:v>Latn</x:v>
      </x:c>
      <x:c r="I37" s="14" t="str">
        <x:v>core_expansion</x:v>
      </x:c>
      <x:c r="J37" s="4" t="str"/>
      <x:c r="K37" s="4" t="str">
        <x:v>regional dictionary plus native technical source</x:v>
      </x:c>
      <x:c r="L37" s="14" t="str">
        <x:v>No source acquired</x:v>
      </x:c>
      <x:c r="M37" s="4" t="str">
        <x:v>Sicilian readers</x:v>
      </x:c>
      <x:c r="N37" s="4" t="str">
        <x:v>true</x:v>
      </x:c>
      <x:c r="O37" s="14" t="str">
        <x:v>Italian is not a proxy</x:v>
      </x:c>
      <x:c r="P37" s="25" t="str">
        <x:v>0</x:v>
      </x:c>
      <x:c r="Q37" s="25" t="str">
        <x:v>0</x:v>
      </x:c>
      <x:c r="R37" s="14" t="str"/>
      <x:c r="S37" s="14" t="str"/>
      <x:c r="T37" s="25" t="str">
        <x:v>0</x:v>
      </x:c>
      <x:c r="U37" s="25" t="str">
        <x:v>0</x:v>
      </x:c>
      <x:c r="V37" s="25" t="str">
        <x:v>0</x:v>
      </x:c>
      <x:c r="W37" s="4" t="str">
        <x:v>false</x:v>
      </x:c>
      <x:c r="X37" s="14" t="str">
        <x:v>no_active_body</x:v>
      </x:c>
      <x:c r="Y37" s="14" t="str">
        <x:v>explicit_zero_body_gap</x:v>
      </x:c>
      <x:c r="Z37" s="4" t="str">
        <x:v>BD7DAAA5A06B7CB537294203DE327F994499C8154C8016BF99F19BEE252FB8B5</x:v>
      </x:c>
      <x:c r="AA37" s="14" t="str">
        <x:v>route_open_zero_body</x:v>
      </x:c>
      <x:c r="AB37" s="25" t="str">
        <x:v>0</x:v>
      </x:c>
      <x:c r="AC37" s="25" t="str">
        <x:v>0</x:v>
      </x:c>
      <x:c r="AD37" s="14" t="str"/>
      <x:c r="AE37" s="14" t="str">
        <x:v>no_lexical_reference</x:v>
      </x:c>
      <x:c r="AF37" s="4" t="str">
        <x:v>false</x:v>
      </x:c>
      <x:c r="AG37" s="25" t="str">
        <x:v>0</x:v>
      </x:c>
      <x:c r="AH37" s="25" t="str">
        <x:v>0</x:v>
      </x:c>
      <x:c r="AI37" s="14" t="str"/>
      <x:c r="AJ37" s="14" t="str">
        <x:v>explicit_zero_specialist_algebra_body</x:v>
      </x:c>
    </x:row>
    <x:row r="38" ht="46" customHeight="1">
      <x:c r="A38" s="14" t="str">
        <x:v>R037</x:v>
      </x:c>
      <x:c r="B38" s="4" t="str">
        <x:v>co</x:v>
      </x:c>
      <x:c r="C38" s="4" t="str">
        <x:v>Corsican</x:v>
      </x:c>
      <x:c r="D38" s="4" t="str">
        <x:v>Western Romance</x:v>
      </x:c>
      <x:c r="E38" s="4" t="str">
        <x:v>Italo-Dalmatian</x:v>
      </x:c>
      <x:c r="F38" s="14" t="str">
        <x:v>regional standard</x:v>
      </x:c>
      <x:c r="G38" s="4" t="str">
        <x:v>Corsica</x:v>
      </x:c>
      <x:c r="H38" s="4" t="str">
        <x:v>Latn</x:v>
      </x:c>
      <x:c r="I38" s="14" t="str">
        <x:v>core_expansion</x:v>
      </x:c>
      <x:c r="J38" s="4" t="str"/>
      <x:c r="K38" s="4" t="str">
        <x:v>institutional dictionary plus native technical source</x:v>
      </x:c>
      <x:c r="L38" s="14" t="str">
        <x:v>No source acquired</x:v>
      </x:c>
      <x:c r="M38" s="4" t="str">
        <x:v>Corsican readers</x:v>
      </x:c>
      <x:c r="N38" s="4" t="str">
        <x:v>true</x:v>
      </x:c>
      <x:c r="O38" s="14" t="str">
        <x:v>French and Italian are not proxies</x:v>
      </x:c>
      <x:c r="P38" s="25" t="str">
        <x:v>0</x:v>
      </x:c>
      <x:c r="Q38" s="25" t="str">
        <x:v>0</x:v>
      </x:c>
      <x:c r="R38" s="14" t="str"/>
      <x:c r="S38" s="14" t="str"/>
      <x:c r="T38" s="25" t="str">
        <x:v>0</x:v>
      </x:c>
      <x:c r="U38" s="25" t="str">
        <x:v>0</x:v>
      </x:c>
      <x:c r="V38" s="25" t="str">
        <x:v>0</x:v>
      </x:c>
      <x:c r="W38" s="4" t="str">
        <x:v>false</x:v>
      </x:c>
      <x:c r="X38" s="14" t="str">
        <x:v>no_active_body</x:v>
      </x:c>
      <x:c r="Y38" s="14" t="str">
        <x:v>explicit_zero_body_gap</x:v>
      </x:c>
      <x:c r="Z38" s="4" t="str">
        <x:v>BD7DAAA5A06B7CB537294203DE327F994499C8154C8016BF99F19BEE252FB8B5</x:v>
      </x:c>
      <x:c r="AA38" s="14" t="str">
        <x:v>route_open_zero_body</x:v>
      </x:c>
      <x:c r="AB38" s="25" t="str">
        <x:v>0</x:v>
      </x:c>
      <x:c r="AC38" s="25" t="str">
        <x:v>0</x:v>
      </x:c>
      <x:c r="AD38" s="14" t="str"/>
      <x:c r="AE38" s="14" t="str">
        <x:v>no_lexical_reference</x:v>
      </x:c>
      <x:c r="AF38" s="4" t="str">
        <x:v>false</x:v>
      </x:c>
      <x:c r="AG38" s="25" t="str">
        <x:v>0</x:v>
      </x:c>
      <x:c r="AH38" s="25" t="str">
        <x:v>0</x:v>
      </x:c>
      <x:c r="AI38" s="14" t="str"/>
      <x:c r="AJ38" s="14" t="str">
        <x:v>explicit_zero_specialist_algebra_body</x:v>
      </x:c>
    </x:row>
    <x:row r="39" ht="46" customHeight="1">
      <x:c r="A39" s="14" t="str">
        <x:v>R038</x:v>
      </x:c>
      <x:c r="B39" s="4" t="str">
        <x:v>ist</x:v>
      </x:c>
      <x:c r="C39" s="4" t="str">
        <x:v>Istriot</x:v>
      </x:c>
      <x:c r="D39" s="4" t="str">
        <x:v>Western Romance</x:v>
      </x:c>
      <x:c r="E39" s="4" t="str">
        <x:v>Italo-Dalmatian</x:v>
      </x:c>
      <x:c r="F39" s="14" t="str">
        <x:v>endangered local varieties</x:v>
      </x:c>
      <x:c r="G39" s="4" t="str">
        <x:v>Istria</x:v>
      </x:c>
      <x:c r="H39" s="4" t="str">
        <x:v>Latn</x:v>
      </x:c>
      <x:c r="I39" s="14" t="str">
        <x:v>core_expansion</x:v>
      </x:c>
      <x:c r="J39" s="4" t="str"/>
      <x:c r="K39" s="4" t="str">
        <x:v>academic dictionary plus archived native technical or educational text</x:v>
      </x:c>
      <x:c r="L39" s="14" t="str">
        <x:v>No source acquired</x:v>
      </x:c>
      <x:c r="M39" s="4" t="str">
        <x:v>Istriot readers or expert elicitation</x:v>
      </x:c>
      <x:c r="N39" s="4" t="str">
        <x:v>true</x:v>
      </x:c>
      <x:c r="O39" s="14" t="str">
        <x:v>Italian and Venetian are not proxies</x:v>
      </x:c>
      <x:c r="P39" s="25" t="str">
        <x:v>0</x:v>
      </x:c>
      <x:c r="Q39" s="25" t="str">
        <x:v>0</x:v>
      </x:c>
      <x:c r="R39" s="14" t="str"/>
      <x:c r="S39" s="14" t="str"/>
      <x:c r="T39" s="25" t="str">
        <x:v>0</x:v>
      </x:c>
      <x:c r="U39" s="25" t="str">
        <x:v>0</x:v>
      </x:c>
      <x:c r="V39" s="25" t="str">
        <x:v>0</x:v>
      </x:c>
      <x:c r="W39" s="4" t="str">
        <x:v>false</x:v>
      </x:c>
      <x:c r="X39" s="14" t="str">
        <x:v>no_active_body</x:v>
      </x:c>
      <x:c r="Y39" s="14" t="str">
        <x:v>explicit_zero_body_gap</x:v>
      </x:c>
      <x:c r="Z39" s="4" t="str">
        <x:v>BD7DAAA5A06B7CB537294203DE327F994499C8154C8016BF99F19BEE252FB8B5</x:v>
      </x:c>
      <x:c r="AA39" s="14" t="str">
        <x:v>route_open_zero_body</x:v>
      </x:c>
      <x:c r="AB39" s="25" t="str">
        <x:v>0</x:v>
      </x:c>
      <x:c r="AC39" s="25" t="str">
        <x:v>0</x:v>
      </x:c>
      <x:c r="AD39" s="14" t="str"/>
      <x:c r="AE39" s="14" t="str">
        <x:v>no_lexical_reference</x:v>
      </x:c>
      <x:c r="AF39" s="4" t="str">
        <x:v>false</x:v>
      </x:c>
      <x:c r="AG39" s="25" t="str">
        <x:v>0</x:v>
      </x:c>
      <x:c r="AH39" s="25" t="str">
        <x:v>0</x:v>
      </x:c>
      <x:c r="AI39" s="14" t="str"/>
      <x:c r="AJ39" s="14" t="str">
        <x:v>explicit_zero_specialist_algebra_body</x:v>
      </x:c>
    </x:row>
    <x:row r="40" ht="46" customHeight="1">
      <x:c r="A40" s="14" t="str">
        <x:v>R039</x:v>
      </x:c>
      <x:c r="B40" s="4" t="str">
        <x:v>dlm</x:v>
      </x:c>
      <x:c r="C40" s="4" t="str">
        <x:v>Dalmatian</x:v>
      </x:c>
      <x:c r="D40" s="4" t="str">
        <x:v>Western Romance</x:v>
      </x:c>
      <x:c r="E40" s="4" t="str">
        <x:v>Italo-Dalmatian</x:v>
      </x:c>
      <x:c r="F40" s="14" t="str">
        <x:v>extinct historical</x:v>
      </x:c>
      <x:c r="G40" s="4" t="str">
        <x:v>Dalmatian coast</x:v>
      </x:c>
      <x:c r="H40" s="4" t="str">
        <x:v>Latn</x:v>
      </x:c>
      <x:c r="I40" s="14" t="str">
        <x:v>historical_diachronic</x:v>
      </x:c>
      <x:c r="J40" s="4" t="str"/>
      <x:c r="K40" s="4" t="str">
        <x:v>critical editions and historical dictionaries</x:v>
      </x:c>
      <x:c r="L40" s="14" t="str">
        <x:v>No source acquired</x:v>
      </x:c>
      <x:c r="M40" s="4" t="str">
        <x:v>Historical evidence only</x:v>
      </x:c>
      <x:c r="N40" s="4" t="str">
        <x:v>true</x:v>
      </x:c>
      <x:c r="O40" s="14" t="str">
        <x:v>No modern intelligibility cohort claim</x:v>
      </x:c>
      <x:c r="P40" s="25" t="str">
        <x:v>0</x:v>
      </x:c>
      <x:c r="Q40" s="25" t="str">
        <x:v>0</x:v>
      </x:c>
      <x:c r="R40" s="14" t="str"/>
      <x:c r="S40" s="14" t="str"/>
      <x:c r="T40" s="25" t="str">
        <x:v>0</x:v>
      </x:c>
      <x:c r="U40" s="25" t="str">
        <x:v>0</x:v>
      </x:c>
      <x:c r="V40" s="25" t="str">
        <x:v>0</x:v>
      </x:c>
      <x:c r="W40" s="4" t="str">
        <x:v>false</x:v>
      </x:c>
      <x:c r="X40" s="14" t="str">
        <x:v>no_active_body</x:v>
      </x:c>
      <x:c r="Y40" s="14" t="str">
        <x:v>explicit_zero_body_gap</x:v>
      </x:c>
      <x:c r="Z40" s="4" t="str">
        <x:v>BD7DAAA5A06B7CB537294203DE327F994499C8154C8016BF99F19BEE252FB8B5</x:v>
      </x:c>
      <x:c r="AA40" s="14" t="str">
        <x:v>route_open_zero_body</x:v>
      </x:c>
      <x:c r="AB40" s="25" t="str">
        <x:v>0</x:v>
      </x:c>
      <x:c r="AC40" s="25" t="str">
        <x:v>0</x:v>
      </x:c>
      <x:c r="AD40" s="14" t="str"/>
      <x:c r="AE40" s="14" t="str">
        <x:v>no_lexical_reference</x:v>
      </x:c>
      <x:c r="AF40" s="4" t="str">
        <x:v>false</x:v>
      </x:c>
      <x:c r="AG40" s="25" t="str">
        <x:v>0</x:v>
      </x:c>
      <x:c r="AH40" s="25" t="str">
        <x:v>0</x:v>
      </x:c>
      <x:c r="AI40" s="14" t="str"/>
      <x:c r="AJ40" s="14" t="str">
        <x:v>explicit_zero_specialist_algebra_body</x:v>
      </x:c>
    </x:row>
    <x:row r="41" ht="46" customHeight="1">
      <x:c r="A41" s="14" t="str">
        <x:v>R040</x:v>
      </x:c>
      <x:c r="B41" s="4" t="str">
        <x:v>sc</x:v>
      </x:c>
      <x:c r="C41" s="4" t="str">
        <x:v>Sardinian</x:v>
      </x:c>
      <x:c r="D41" s="4" t="str">
        <x:v>Insular Romance</x:v>
      </x:c>
      <x:c r="E41" s="4" t="str">
        <x:v>Sardinian</x:v>
      </x:c>
      <x:c r="F41" s="14" t="str">
        <x:v>umbrella standard</x:v>
      </x:c>
      <x:c r="G41" s="4" t="str">
        <x:v>Sardinia</x:v>
      </x:c>
      <x:c r="H41" s="4" t="str">
        <x:v>Latn</x:v>
      </x:c>
      <x:c r="I41" s="14" t="str">
        <x:v>core_expansion</x:v>
      </x:c>
      <x:c r="J41" s="4" t="str"/>
      <x:c r="K41" s="4" t="str">
        <x:v>institutional standard lexicon plus native mathematics or education source</x:v>
      </x:c>
      <x:c r="L41" s="14" t="str">
        <x:v>No source acquired</x:v>
      </x:c>
      <x:c r="M41" s="4" t="str">
        <x:v>Sardinian readers</x:v>
      </x:c>
      <x:c r="N41" s="4" t="str">
        <x:v>true</x:v>
      </x:c>
      <x:c r="O41" s="14" t="str">
        <x:v>Italian is not a proxy</x:v>
      </x:c>
      <x:c r="P41" s="25" t="str">
        <x:v>0</x:v>
      </x:c>
      <x:c r="Q41" s="25" t="str">
        <x:v>0</x:v>
      </x:c>
      <x:c r="R41" s="14" t="str"/>
      <x:c r="S41" s="14" t="str"/>
      <x:c r="T41" s="25" t="str">
        <x:v>0</x:v>
      </x:c>
      <x:c r="U41" s="25" t="str">
        <x:v>0</x:v>
      </x:c>
      <x:c r="V41" s="25" t="str">
        <x:v>0</x:v>
      </x:c>
      <x:c r="W41" s="4" t="str">
        <x:v>false</x:v>
      </x:c>
      <x:c r="X41" s="14" t="str">
        <x:v>no_active_body</x:v>
      </x:c>
      <x:c r="Y41" s="14" t="str">
        <x:v>explicit_zero_body_gap</x:v>
      </x:c>
      <x:c r="Z41" s="4" t="str">
        <x:v>BD7DAAA5A06B7CB537294203DE327F994499C8154C8016BF99F19BEE252FB8B5</x:v>
      </x:c>
      <x:c r="AA41" s="14" t="str">
        <x:v>route_open_zero_body</x:v>
      </x:c>
      <x:c r="AB41" s="25" t="str">
        <x:v>0</x:v>
      </x:c>
      <x:c r="AC41" s="25" t="str">
        <x:v>0</x:v>
      </x:c>
      <x:c r="AD41" s="14" t="str"/>
      <x:c r="AE41" s="14" t="str">
        <x:v>no_lexical_reference</x:v>
      </x:c>
      <x:c r="AF41" s="4" t="str">
        <x:v>false</x:v>
      </x:c>
      <x:c r="AG41" s="25" t="str">
        <x:v>0</x:v>
      </x:c>
      <x:c r="AH41" s="25" t="str">
        <x:v>0</x:v>
      </x:c>
      <x:c r="AI41" s="14" t="str"/>
      <x:c r="AJ41" s="14" t="str">
        <x:v>explicit_zero_specialist_algebra_body</x:v>
      </x:c>
    </x:row>
    <x:row r="42" ht="46" customHeight="1">
      <x:c r="A42" s="14" t="str">
        <x:v>R041</x:v>
      </x:c>
      <x:c r="B42" s="4" t="str">
        <x:v>src</x:v>
      </x:c>
      <x:c r="C42" s="4" t="str">
        <x:v>Logudorese Sardinian</x:v>
      </x:c>
      <x:c r="D42" s="4" t="str">
        <x:v>Insular Romance</x:v>
      </x:c>
      <x:c r="E42" s="4" t="str">
        <x:v>Sardinian</x:v>
      </x:c>
      <x:c r="F42" s="14" t="str">
        <x:v>regional standard</x:v>
      </x:c>
      <x:c r="G42" s="4" t="str">
        <x:v>Central and northern Sardinia</x:v>
      </x:c>
      <x:c r="H42" s="4" t="str">
        <x:v>Latn</x:v>
      </x:c>
      <x:c r="I42" s="14" t="str">
        <x:v>core_expansion</x:v>
      </x:c>
      <x:c r="J42" s="4" t="str"/>
      <x:c r="K42" s="4" t="str">
        <x:v>regional lexicon plus native technical source</x:v>
      </x:c>
      <x:c r="L42" s="14" t="str">
        <x:v>No source acquired</x:v>
      </x:c>
      <x:c r="M42" s="4" t="str">
        <x:v>Logudorese readers</x:v>
      </x:c>
      <x:c r="N42" s="4" t="str">
        <x:v>true</x:v>
      </x:c>
      <x:c r="O42" s="14" t="str">
        <x:v>Umbrella Sardinian is not a proxy</x:v>
      </x:c>
      <x:c r="P42" s="25" t="str">
        <x:v>0</x:v>
      </x:c>
      <x:c r="Q42" s="25" t="str">
        <x:v>0</x:v>
      </x:c>
      <x:c r="R42" s="14" t="str"/>
      <x:c r="S42" s="14" t="str"/>
      <x:c r="T42" s="25" t="str">
        <x:v>0</x:v>
      </x:c>
      <x:c r="U42" s="25" t="str">
        <x:v>0</x:v>
      </x:c>
      <x:c r="V42" s="25" t="str">
        <x:v>0</x:v>
      </x:c>
      <x:c r="W42" s="4" t="str">
        <x:v>false</x:v>
      </x:c>
      <x:c r="X42" s="14" t="str">
        <x:v>no_active_body</x:v>
      </x:c>
      <x:c r="Y42" s="14" t="str">
        <x:v>explicit_zero_body_gap</x:v>
      </x:c>
      <x:c r="Z42" s="4" t="str">
        <x:v>BD7DAAA5A06B7CB537294203DE327F994499C8154C8016BF99F19BEE252FB8B5</x:v>
      </x:c>
      <x:c r="AA42" s="14" t="str">
        <x:v>route_open_zero_body</x:v>
      </x:c>
      <x:c r="AB42" s="25" t="str">
        <x:v>0</x:v>
      </x:c>
      <x:c r="AC42" s="25" t="str">
        <x:v>0</x:v>
      </x:c>
      <x:c r="AD42" s="14" t="str"/>
      <x:c r="AE42" s="14" t="str">
        <x:v>no_lexical_reference</x:v>
      </x:c>
      <x:c r="AF42" s="4" t="str">
        <x:v>false</x:v>
      </x:c>
      <x:c r="AG42" s="25" t="str">
        <x:v>0</x:v>
      </x:c>
      <x:c r="AH42" s="25" t="str">
        <x:v>0</x:v>
      </x:c>
      <x:c r="AI42" s="14" t="str"/>
      <x:c r="AJ42" s="14" t="str">
        <x:v>explicit_zero_specialist_algebra_body</x:v>
      </x:c>
    </x:row>
    <x:row r="43" ht="46" customHeight="1">
      <x:c r="A43" s="14" t="str">
        <x:v>R042</x:v>
      </x:c>
      <x:c r="B43" s="4" t="str">
        <x:v>sro</x:v>
      </x:c>
      <x:c r="C43" s="4" t="str">
        <x:v>Campidanese Sardinian</x:v>
      </x:c>
      <x:c r="D43" s="4" t="str">
        <x:v>Insular Romance</x:v>
      </x:c>
      <x:c r="E43" s="4" t="str">
        <x:v>Sardinian</x:v>
      </x:c>
      <x:c r="F43" s="14" t="str">
        <x:v>regional standard</x:v>
      </x:c>
      <x:c r="G43" s="4" t="str">
        <x:v>Southern Sardinia</x:v>
      </x:c>
      <x:c r="H43" s="4" t="str">
        <x:v>Latn</x:v>
      </x:c>
      <x:c r="I43" s="14" t="str">
        <x:v>core_expansion</x:v>
      </x:c>
      <x:c r="J43" s="4" t="str"/>
      <x:c r="K43" s="4" t="str">
        <x:v>regional lexicon plus native technical source</x:v>
      </x:c>
      <x:c r="L43" s="14" t="str">
        <x:v>No source acquired</x:v>
      </x:c>
      <x:c r="M43" s="4" t="str">
        <x:v>Campidanese readers</x:v>
      </x:c>
      <x:c r="N43" s="4" t="str">
        <x:v>true</x:v>
      </x:c>
      <x:c r="O43" s="14" t="str">
        <x:v>Umbrella Sardinian is not a proxy</x:v>
      </x:c>
      <x:c r="P43" s="25" t="str">
        <x:v>0</x:v>
      </x:c>
      <x:c r="Q43" s="25" t="str">
        <x:v>0</x:v>
      </x:c>
      <x:c r="R43" s="14" t="str"/>
      <x:c r="S43" s="14" t="str"/>
      <x:c r="T43" s="25" t="str">
        <x:v>0</x:v>
      </x:c>
      <x:c r="U43" s="25" t="str">
        <x:v>0</x:v>
      </x:c>
      <x:c r="V43" s="25" t="str">
        <x:v>0</x:v>
      </x:c>
      <x:c r="W43" s="4" t="str">
        <x:v>false</x:v>
      </x:c>
      <x:c r="X43" s="14" t="str">
        <x:v>no_active_body</x:v>
      </x:c>
      <x:c r="Y43" s="14" t="str">
        <x:v>explicit_zero_body_gap</x:v>
      </x:c>
      <x:c r="Z43" s="4" t="str">
        <x:v>BD7DAAA5A06B7CB537294203DE327F994499C8154C8016BF99F19BEE252FB8B5</x:v>
      </x:c>
      <x:c r="AA43" s="14" t="str">
        <x:v>route_open_zero_body</x:v>
      </x:c>
      <x:c r="AB43" s="25" t="str">
        <x:v>0</x:v>
      </x:c>
      <x:c r="AC43" s="25" t="str">
        <x:v>0</x:v>
      </x:c>
      <x:c r="AD43" s="14" t="str"/>
      <x:c r="AE43" s="14" t="str">
        <x:v>no_lexical_reference</x:v>
      </x:c>
      <x:c r="AF43" s="4" t="str">
        <x:v>false</x:v>
      </x:c>
      <x:c r="AG43" s="25" t="str">
        <x:v>0</x:v>
      </x:c>
      <x:c r="AH43" s="25" t="str">
        <x:v>0</x:v>
      </x:c>
      <x:c r="AI43" s="14" t="str"/>
      <x:c r="AJ43" s="14" t="str">
        <x:v>explicit_zero_specialist_algebra_body</x:v>
      </x:c>
    </x:row>
    <x:row r="44" ht="46" customHeight="1">
      <x:c r="A44" s="14" t="str">
        <x:v>R043</x:v>
      </x:c>
      <x:c r="B44" s="4" t="str">
        <x:v>sdc</x:v>
      </x:c>
      <x:c r="C44" s="4" t="str">
        <x:v>Sassarese</x:v>
      </x:c>
      <x:c r="D44" s="4" t="str">
        <x:v>Insular Romance</x:v>
      </x:c>
      <x:c r="E44" s="4" t="str">
        <x:v>Transitional Sardinian-Corsican</x:v>
      </x:c>
      <x:c r="F44" s="14" t="str">
        <x:v>regional standard</x:v>
      </x:c>
      <x:c r="G44" s="4" t="str">
        <x:v>Northwest Sardinia</x:v>
      </x:c>
      <x:c r="H44" s="4" t="str">
        <x:v>Latn</x:v>
      </x:c>
      <x:c r="I44" s="14" t="str">
        <x:v>core_expansion</x:v>
      </x:c>
      <x:c r="J44" s="4" t="str"/>
      <x:c r="K44" s="4" t="str">
        <x:v>regional lexicon plus native technical source</x:v>
      </x:c>
      <x:c r="L44" s="14" t="str">
        <x:v>No source acquired</x:v>
      </x:c>
      <x:c r="M44" s="4" t="str">
        <x:v>Sassarese readers</x:v>
      </x:c>
      <x:c r="N44" s="4" t="str">
        <x:v>true</x:v>
      </x:c>
      <x:c r="O44" s="14" t="str">
        <x:v>Italian and Sardinian are not proxies</x:v>
      </x:c>
      <x:c r="P44" s="25" t="str">
        <x:v>0</x:v>
      </x:c>
      <x:c r="Q44" s="25" t="str">
        <x:v>0</x:v>
      </x:c>
      <x:c r="R44" s="14" t="str"/>
      <x:c r="S44" s="14" t="str"/>
      <x:c r="T44" s="25" t="str">
        <x:v>0</x:v>
      </x:c>
      <x:c r="U44" s="25" t="str">
        <x:v>0</x:v>
      </x:c>
      <x:c r="V44" s="25" t="str">
        <x:v>0</x:v>
      </x:c>
      <x:c r="W44" s="4" t="str">
        <x:v>false</x:v>
      </x:c>
      <x:c r="X44" s="14" t="str">
        <x:v>no_active_body</x:v>
      </x:c>
      <x:c r="Y44" s="14" t="str">
        <x:v>explicit_zero_body_gap</x:v>
      </x:c>
      <x:c r="Z44" s="4" t="str">
        <x:v>BD7DAAA5A06B7CB537294203DE327F994499C8154C8016BF99F19BEE252FB8B5</x:v>
      </x:c>
      <x:c r="AA44" s="14" t="str">
        <x:v>route_open_zero_body</x:v>
      </x:c>
      <x:c r="AB44" s="25" t="str">
        <x:v>0</x:v>
      </x:c>
      <x:c r="AC44" s="25" t="str">
        <x:v>0</x:v>
      </x:c>
      <x:c r="AD44" s="14" t="str"/>
      <x:c r="AE44" s="14" t="str">
        <x:v>no_lexical_reference</x:v>
      </x:c>
      <x:c r="AF44" s="4" t="str">
        <x:v>false</x:v>
      </x:c>
      <x:c r="AG44" s="25" t="str">
        <x:v>0</x:v>
      </x:c>
      <x:c r="AH44" s="25" t="str">
        <x:v>0</x:v>
      </x:c>
      <x:c r="AI44" s="14" t="str"/>
      <x:c r="AJ44" s="14" t="str">
        <x:v>explicit_zero_specialist_algebra_body</x:v>
      </x:c>
    </x:row>
    <x:row r="45" ht="46" customHeight="1">
      <x:c r="A45" s="14" t="str">
        <x:v>R044</x:v>
      </x:c>
      <x:c r="B45" s="4" t="str">
        <x:v>sdn</x:v>
      </x:c>
      <x:c r="C45" s="4" t="str">
        <x:v>Gallurese</x:v>
      </x:c>
      <x:c r="D45" s="4" t="str">
        <x:v>Insular Romance</x:v>
      </x:c>
      <x:c r="E45" s="4" t="str">
        <x:v>Transitional Sardinian-Corsican</x:v>
      </x:c>
      <x:c r="F45" s="14" t="str">
        <x:v>regional standard</x:v>
      </x:c>
      <x:c r="G45" s="4" t="str">
        <x:v>Northeast Sardinia</x:v>
      </x:c>
      <x:c r="H45" s="4" t="str">
        <x:v>Latn</x:v>
      </x:c>
      <x:c r="I45" s="14" t="str">
        <x:v>core_expansion</x:v>
      </x:c>
      <x:c r="J45" s="4" t="str"/>
      <x:c r="K45" s="4" t="str">
        <x:v>regional lexicon plus native technical source</x:v>
      </x:c>
      <x:c r="L45" s="14" t="str">
        <x:v>No source acquired</x:v>
      </x:c>
      <x:c r="M45" s="4" t="str">
        <x:v>Gallurese readers</x:v>
      </x:c>
      <x:c r="N45" s="4" t="str">
        <x:v>true</x:v>
      </x:c>
      <x:c r="O45" s="14" t="str">
        <x:v>Italian and Sardinian are not proxies</x:v>
      </x:c>
      <x:c r="P45" s="25" t="str">
        <x:v>0</x:v>
      </x:c>
      <x:c r="Q45" s="25" t="str">
        <x:v>0</x:v>
      </x:c>
      <x:c r="R45" s="14" t="str"/>
      <x:c r="S45" s="14" t="str"/>
      <x:c r="T45" s="25" t="str">
        <x:v>0</x:v>
      </x:c>
      <x:c r="U45" s="25" t="str">
        <x:v>0</x:v>
      </x:c>
      <x:c r="V45" s="25" t="str">
        <x:v>0</x:v>
      </x:c>
      <x:c r="W45" s="4" t="str">
        <x:v>false</x:v>
      </x:c>
      <x:c r="X45" s="14" t="str">
        <x:v>no_active_body</x:v>
      </x:c>
      <x:c r="Y45" s="14" t="str">
        <x:v>explicit_zero_body_gap</x:v>
      </x:c>
      <x:c r="Z45" s="4" t="str">
        <x:v>BD7DAAA5A06B7CB537294203DE327F994499C8154C8016BF99F19BEE252FB8B5</x:v>
      </x:c>
      <x:c r="AA45" s="14" t="str">
        <x:v>route_open_zero_body</x:v>
      </x:c>
      <x:c r="AB45" s="25" t="str">
        <x:v>0</x:v>
      </x:c>
      <x:c r="AC45" s="25" t="str">
        <x:v>0</x:v>
      </x:c>
      <x:c r="AD45" s="14" t="str"/>
      <x:c r="AE45" s="14" t="str">
        <x:v>no_lexical_reference</x:v>
      </x:c>
      <x:c r="AF45" s="4" t="str">
        <x:v>false</x:v>
      </x:c>
      <x:c r="AG45" s="25" t="str">
        <x:v>0</x:v>
      </x:c>
      <x:c r="AH45" s="25" t="str">
        <x:v>0</x:v>
      </x:c>
      <x:c r="AI45" s="14" t="str"/>
      <x:c r="AJ45" s="14" t="str">
        <x:v>explicit_zero_specialist_algebra_body</x:v>
      </x:c>
    </x:row>
    <x:row r="46" ht="46" customHeight="1">
      <x:c r="A46" s="14" t="str">
        <x:v>R045</x:v>
      </x:c>
      <x:c r="B46" s="4" t="str">
        <x:v>rup</x:v>
      </x:c>
      <x:c r="C46" s="4" t="str">
        <x:v>Aromanian</x:v>
      </x:c>
      <x:c r="D46" s="4" t="str">
        <x:v>Eastern Romance</x:v>
      </x:c>
      <x:c r="E46" s="4" t="str">
        <x:v>Aromanian</x:v>
      </x:c>
      <x:c r="F46" s="14" t="str">
        <x:v>minority standards</x:v>
      </x:c>
      <x:c r="G46" s="4" t="str">
        <x:v>Balkans</x:v>
      </x:c>
      <x:c r="H46" s="4" t="str">
        <x:v>Latn</x:v>
      </x:c>
      <x:c r="I46" s="14" t="str">
        <x:v>core_expansion</x:v>
      </x:c>
      <x:c r="J46" s="4" t="str"/>
      <x:c r="K46" s="4" t="str">
        <x:v>academic dictionary plus native mathematics or education source</x:v>
      </x:c>
      <x:c r="L46" s="14" t="str">
        <x:v>No source acquired</x:v>
      </x:c>
      <x:c r="M46" s="4" t="str">
        <x:v>Aromanian readers</x:v>
      </x:c>
      <x:c r="N46" s="4" t="str">
        <x:v>true</x:v>
      </x:c>
      <x:c r="O46" s="14" t="str">
        <x:v>Romanian is not a proxy</x:v>
      </x:c>
      <x:c r="P46" s="25" t="str">
        <x:v>0</x:v>
      </x:c>
      <x:c r="Q46" s="25" t="str">
        <x:v>0</x:v>
      </x:c>
      <x:c r="R46" s="14" t="str"/>
      <x:c r="S46" s="14" t="str"/>
      <x:c r="T46" s="25" t="str">
        <x:v>0</x:v>
      </x:c>
      <x:c r="U46" s="25" t="str">
        <x:v>0</x:v>
      </x:c>
      <x:c r="V46" s="25" t="str">
        <x:v>0</x:v>
      </x:c>
      <x:c r="W46" s="4" t="str">
        <x:v>false</x:v>
      </x:c>
      <x:c r="X46" s="14" t="str">
        <x:v>no_active_body</x:v>
      </x:c>
      <x:c r="Y46" s="14" t="str">
        <x:v>explicit_zero_body_gap</x:v>
      </x:c>
      <x:c r="Z46" s="4" t="str">
        <x:v>BD7DAAA5A06B7CB537294203DE327F994499C8154C8016BF99F19BEE252FB8B5</x:v>
      </x:c>
      <x:c r="AA46" s="14" t="str">
        <x:v>route_open_zero_body</x:v>
      </x:c>
      <x:c r="AB46" s="25" t="str">
        <x:v>0</x:v>
      </x:c>
      <x:c r="AC46" s="25" t="str">
        <x:v>0</x:v>
      </x:c>
      <x:c r="AD46" s="14" t="str"/>
      <x:c r="AE46" s="14" t="str">
        <x:v>no_lexical_reference</x:v>
      </x:c>
      <x:c r="AF46" s="4" t="str">
        <x:v>false</x:v>
      </x:c>
      <x:c r="AG46" s="25" t="str">
        <x:v>0</x:v>
      </x:c>
      <x:c r="AH46" s="25" t="str">
        <x:v>0</x:v>
      </x:c>
      <x:c r="AI46" s="14" t="str"/>
      <x:c r="AJ46" s="14" t="str">
        <x:v>explicit_zero_specialist_algebra_body</x:v>
      </x:c>
    </x:row>
    <x:row r="47" ht="46" customHeight="1">
      <x:c r="A47" s="14" t="str">
        <x:v>R046</x:v>
      </x:c>
      <x:c r="B47" s="4" t="str">
        <x:v>ruq</x:v>
      </x:c>
      <x:c r="C47" s="4" t="str">
        <x:v>Megleno-Romanian</x:v>
      </x:c>
      <x:c r="D47" s="4" t="str">
        <x:v>Eastern Romance</x:v>
      </x:c>
      <x:c r="E47" s="4" t="str">
        <x:v>Megleno-Romanian</x:v>
      </x:c>
      <x:c r="F47" s="14" t="str">
        <x:v>endangered local varieties</x:v>
      </x:c>
      <x:c r="G47" s="4" t="str">
        <x:v>Greece and North Macedonia</x:v>
      </x:c>
      <x:c r="H47" s="4" t="str">
        <x:v>Latn</x:v>
      </x:c>
      <x:c r="I47" s="14" t="str">
        <x:v>core_expansion</x:v>
      </x:c>
      <x:c r="J47" s="4" t="str"/>
      <x:c r="K47" s="4" t="str">
        <x:v>academic dictionary plus archived native educational text</x:v>
      </x:c>
      <x:c r="L47" s="14" t="str">
        <x:v>No source acquired</x:v>
      </x:c>
      <x:c r="M47" s="4" t="str">
        <x:v>Expert and heritage-reader cohort</x:v>
      </x:c>
      <x:c r="N47" s="4" t="str">
        <x:v>true</x:v>
      </x:c>
      <x:c r="O47" s="14" t="str">
        <x:v>Romanian is not a proxy</x:v>
      </x:c>
      <x:c r="P47" s="25" t="str">
        <x:v>0</x:v>
      </x:c>
      <x:c r="Q47" s="25" t="str">
        <x:v>0</x:v>
      </x:c>
      <x:c r="R47" s="14" t="str"/>
      <x:c r="S47" s="14" t="str"/>
      <x:c r="T47" s="25" t="str">
        <x:v>0</x:v>
      </x:c>
      <x:c r="U47" s="25" t="str">
        <x:v>0</x:v>
      </x:c>
      <x:c r="V47" s="25" t="str">
        <x:v>0</x:v>
      </x:c>
      <x:c r="W47" s="4" t="str">
        <x:v>false</x:v>
      </x:c>
      <x:c r="X47" s="14" t="str">
        <x:v>no_active_body</x:v>
      </x:c>
      <x:c r="Y47" s="14" t="str">
        <x:v>explicit_zero_body_gap</x:v>
      </x:c>
      <x:c r="Z47" s="4" t="str">
        <x:v>BD7DAAA5A06B7CB537294203DE327F994499C8154C8016BF99F19BEE252FB8B5</x:v>
      </x:c>
      <x:c r="AA47" s="14" t="str">
        <x:v>route_open_zero_body</x:v>
      </x:c>
      <x:c r="AB47" s="25" t="str">
        <x:v>0</x:v>
      </x:c>
      <x:c r="AC47" s="25" t="str">
        <x:v>0</x:v>
      </x:c>
      <x:c r="AD47" s="14" t="str"/>
      <x:c r="AE47" s="14" t="str">
        <x:v>no_lexical_reference</x:v>
      </x:c>
      <x:c r="AF47" s="4" t="str">
        <x:v>false</x:v>
      </x:c>
      <x:c r="AG47" s="25" t="str">
        <x:v>0</x:v>
      </x:c>
      <x:c r="AH47" s="25" t="str">
        <x:v>0</x:v>
      </x:c>
      <x:c r="AI47" s="14" t="str"/>
      <x:c r="AJ47" s="14" t="str">
        <x:v>explicit_zero_specialist_algebra_body</x:v>
      </x:c>
    </x:row>
    <x:row r="48" ht="46" customHeight="1">
      <x:c r="A48" s="14" t="str">
        <x:v>R047</x:v>
      </x:c>
      <x:c r="B48" s="4" t="str">
        <x:v>ruo</x:v>
      </x:c>
      <x:c r="C48" s="4" t="str">
        <x:v>Istro-Romanian</x:v>
      </x:c>
      <x:c r="D48" s="4" t="str">
        <x:v>Eastern Romance</x:v>
      </x:c>
      <x:c r="E48" s="4" t="str">
        <x:v>Istro-Romanian</x:v>
      </x:c>
      <x:c r="F48" s="14" t="str">
        <x:v>endangered local varieties</x:v>
      </x:c>
      <x:c r="G48" s="4" t="str">
        <x:v>Istria</x:v>
      </x:c>
      <x:c r="H48" s="4" t="str">
        <x:v>Latn</x:v>
      </x:c>
      <x:c r="I48" s="14" t="str">
        <x:v>core_expansion</x:v>
      </x:c>
      <x:c r="J48" s="4" t="str"/>
      <x:c r="K48" s="4" t="str">
        <x:v>academic dictionary plus archived native educational text</x:v>
      </x:c>
      <x:c r="L48" s="14" t="str">
        <x:v>No source acquired</x:v>
      </x:c>
      <x:c r="M48" s="4" t="str">
        <x:v>Expert and heritage-reader cohort</x:v>
      </x:c>
      <x:c r="N48" s="4" t="str">
        <x:v>true</x:v>
      </x:c>
      <x:c r="O48" s="14" t="str">
        <x:v>Romanian is not a proxy</x:v>
      </x:c>
      <x:c r="P48" s="25" t="str">
        <x:v>0</x:v>
      </x:c>
      <x:c r="Q48" s="25" t="str">
        <x:v>0</x:v>
      </x:c>
      <x:c r="R48" s="14" t="str"/>
      <x:c r="S48" s="14" t="str"/>
      <x:c r="T48" s="25" t="str">
        <x:v>0</x:v>
      </x:c>
      <x:c r="U48" s="25" t="str">
        <x:v>0</x:v>
      </x:c>
      <x:c r="V48" s="25" t="str">
        <x:v>0</x:v>
      </x:c>
      <x:c r="W48" s="4" t="str">
        <x:v>false</x:v>
      </x:c>
      <x:c r="X48" s="14" t="str">
        <x:v>no_active_body</x:v>
      </x:c>
      <x:c r="Y48" s="14" t="str">
        <x:v>explicit_zero_body_gap</x:v>
      </x:c>
      <x:c r="Z48" s="4" t="str">
        <x:v>BD7DAAA5A06B7CB537294203DE327F994499C8154C8016BF99F19BEE252FB8B5</x:v>
      </x:c>
      <x:c r="AA48" s="14" t="str">
        <x:v>route_open_zero_body</x:v>
      </x:c>
      <x:c r="AB48" s="25" t="str">
        <x:v>0</x:v>
      </x:c>
      <x:c r="AC48" s="25" t="str">
        <x:v>0</x:v>
      </x:c>
      <x:c r="AD48" s="14" t="str"/>
      <x:c r="AE48" s="14" t="str">
        <x:v>no_lexical_reference</x:v>
      </x:c>
      <x:c r="AF48" s="4" t="str">
        <x:v>false</x:v>
      </x:c>
      <x:c r="AG48" s="25" t="str">
        <x:v>0</x:v>
      </x:c>
      <x:c r="AH48" s="25" t="str">
        <x:v>0</x:v>
      </x:c>
      <x:c r="AI48" s="14" t="str"/>
      <x:c r="AJ48" s="14" t="str">
        <x:v>explicit_zero_specialist_algebra_body</x:v>
      </x:c>
    </x:row>
    <x:row r="49" ht="46" customHeight="1">
      <x:c r="A49" s="14" t="str">
        <x:v>R048</x:v>
      </x:c>
      <x:c r="B49" s="4" t="str">
        <x:v>ro-md</x:v>
      </x:c>
      <x:c r="C49" s="4" t="str">
        <x:v>Romanian in Moldova</x:v>
      </x:c>
      <x:c r="D49" s="4" t="str">
        <x:v>Eastern Romance</x:v>
      </x:c>
      <x:c r="E49" s="4" t="str">
        <x:v>Daco-Romanian</x:v>
      </x:c>
      <x:c r="F49" s="14" t="str">
        <x:v>regional standard</x:v>
      </x:c>
      <x:c r="G49" s="4" t="str">
        <x:v>Moldova</x:v>
      </x:c>
      <x:c r="H49" s="4" t="str">
        <x:v>Latn</x:v>
      </x:c>
      <x:c r="I49" s="14" t="str">
        <x:v>core_expansion</x:v>
      </x:c>
      <x:c r="J49" s="4" t="str"/>
      <x:c r="K49" s="4" t="str">
        <x:v>Moldovan edition-tagged mathematics source</x:v>
      </x:c>
      <x:c r="L49" s="14" t="str">
        <x:v>No region-tagged source acquired</x:v>
      </x:c>
      <x:c r="M49" s="4" t="str">
        <x:v>Moldovan Romanian readers</x:v>
      </x:c>
      <x:c r="N49" s="4" t="str">
        <x:v>true</x:v>
      </x:c>
      <x:c r="O49" s="14" t="str">
        <x:v>Romanian corpus needs region metadata</x:v>
      </x:c>
      <x:c r="P49" s="25" t="str">
        <x:v>0</x:v>
      </x:c>
      <x:c r="Q49" s="25" t="str">
        <x:v>0</x:v>
      </x:c>
      <x:c r="R49" s="14" t="str"/>
      <x:c r="S49" s="14" t="str"/>
      <x:c r="T49" s="25" t="str">
        <x:v>0</x:v>
      </x:c>
      <x:c r="U49" s="25" t="str">
        <x:v>0</x:v>
      </x:c>
      <x:c r="V49" s="25" t="str">
        <x:v>0</x:v>
      </x:c>
      <x:c r="W49" s="4" t="str">
        <x:v>false</x:v>
      </x:c>
      <x:c r="X49" s="14" t="str">
        <x:v>no_active_body</x:v>
      </x:c>
      <x:c r="Y49" s="14" t="str">
        <x:v>explicit_zero_body_gap</x:v>
      </x:c>
      <x:c r="Z49" s="4" t="str">
        <x:v>BD7DAAA5A06B7CB537294203DE327F994499C8154C8016BF99F19BEE252FB8B5</x:v>
      </x:c>
      <x:c r="AA49" s="14" t="str">
        <x:v>route_open_zero_body</x:v>
      </x:c>
      <x:c r="AB49" s="25" t="str">
        <x:v>0</x:v>
      </x:c>
      <x:c r="AC49" s="25" t="str">
        <x:v>0</x:v>
      </x:c>
      <x:c r="AD49" s="14" t="str"/>
      <x:c r="AE49" s="14" t="str">
        <x:v>no_lexical_reference</x:v>
      </x:c>
      <x:c r="AF49" s="4" t="str">
        <x:v>false</x:v>
      </x:c>
      <x:c r="AG49" s="25" t="str">
        <x:v>0</x:v>
      </x:c>
      <x:c r="AH49" s="25" t="str">
        <x:v>0</x:v>
      </x:c>
      <x:c r="AI49" s="14" t="str"/>
      <x:c r="AJ49" s="14" t="str">
        <x:v>explicit_zero_specialist_algebra_body</x:v>
      </x:c>
    </x:row>
    <x:row r="50" ht="46" customHeight="1">
      <x:c r="A50" s="14" t="str">
        <x:v>R049</x:v>
      </x:c>
      <x:c r="B50" s="4" t="str">
        <x:v>ro-cyrl-hist</x:v>
      </x:c>
      <x:c r="C50" s="4" t="str">
        <x:v>Moldovan Cyrillic historical</x:v>
      </x:c>
      <x:c r="D50" s="4" t="str">
        <x:v>Eastern Romance</x:v>
      </x:c>
      <x:c r="E50" s="4" t="str">
        <x:v>Daco-Romanian</x:v>
      </x:c>
      <x:c r="F50" s="14" t="str">
        <x:v>historical script layer</x:v>
      </x:c>
      <x:c r="G50" s="4" t="str">
        <x:v>Moldova and former USSR</x:v>
      </x:c>
      <x:c r="H50" s="4" t="str">
        <x:v>Cyrl</x:v>
      </x:c>
      <x:c r="I50" s="14" t="str">
        <x:v>historical_diachronic</x:v>
      </x:c>
      <x:c r="J50" s="4" t="str"/>
      <x:c r="K50" s="4" t="str">
        <x:v>dated educational editions with script metadata</x:v>
      </x:c>
      <x:c r="L50" s="14" t="str">
        <x:v>No source acquired</x:v>
      </x:c>
      <x:c r="M50" s="4" t="str">
        <x:v>Historical/script evidence only</x:v>
      </x:c>
      <x:c r="N50" s="4" t="str">
        <x:v>true</x:v>
      </x:c>
      <x:c r="O50" s="14" t="str">
        <x:v>Do not merge scripts silently</x:v>
      </x:c>
      <x:c r="P50" s="25" t="str">
        <x:v>0</x:v>
      </x:c>
      <x:c r="Q50" s="25" t="str">
        <x:v>0</x:v>
      </x:c>
      <x:c r="R50" s="14" t="str"/>
      <x:c r="S50" s="14" t="str"/>
      <x:c r="T50" s="25" t="str">
        <x:v>0</x:v>
      </x:c>
      <x:c r="U50" s="25" t="str">
        <x:v>0</x:v>
      </x:c>
      <x:c r="V50" s="25" t="str">
        <x:v>0</x:v>
      </x:c>
      <x:c r="W50" s="4" t="str">
        <x:v>false</x:v>
      </x:c>
      <x:c r="X50" s="14" t="str">
        <x:v>no_active_body</x:v>
      </x:c>
      <x:c r="Y50" s="14" t="str">
        <x:v>explicit_zero_body_gap</x:v>
      </x:c>
      <x:c r="Z50" s="4" t="str">
        <x:v>BD7DAAA5A06B7CB537294203DE327F994499C8154C8016BF99F19BEE252FB8B5</x:v>
      </x:c>
      <x:c r="AA50" s="14" t="str">
        <x:v>route_open_zero_body</x:v>
      </x:c>
      <x:c r="AB50" s="25" t="str">
        <x:v>0</x:v>
      </x:c>
      <x:c r="AC50" s="25" t="str">
        <x:v>0</x:v>
      </x:c>
      <x:c r="AD50" s="14" t="str"/>
      <x:c r="AE50" s="14" t="str">
        <x:v>no_lexical_reference</x:v>
      </x:c>
      <x:c r="AF50" s="4" t="str">
        <x:v>false</x:v>
      </x:c>
      <x:c r="AG50" s="25" t="str">
        <x:v>0</x:v>
      </x:c>
      <x:c r="AH50" s="25" t="str">
        <x:v>0</x:v>
      </x:c>
      <x:c r="AI50" s="14" t="str"/>
      <x:c r="AJ50" s="14" t="str">
        <x:v>explicit_zero_specialist_algebra_body</x:v>
      </x:c>
    </x:row>
    <x:row r="51" ht="46" customHeight="1">
      <x:c r="A51" s="14" t="str">
        <x:v>R050</x:v>
      </x:c>
      <x:c r="B51" s="4" t="str">
        <x:v>ast</x:v>
      </x:c>
      <x:c r="C51" s="4" t="str">
        <x:v>Asturian</x:v>
      </x:c>
      <x:c r="D51" s="4" t="str">
        <x:v>Western Romance</x:v>
      </x:c>
      <x:c r="E51" s="4" t="str">
        <x:v>Astur-Leonese</x:v>
      </x:c>
      <x:c r="F51" s="14" t="str">
        <x:v>standard</x:v>
      </x:c>
      <x:c r="G51" s="4" t="str">
        <x:v>Asturias</x:v>
      </x:c>
      <x:c r="H51" s="4" t="str">
        <x:v>Latn</x:v>
      </x:c>
      <x:c r="I51" s="14" t="str">
        <x:v>core_expansion</x:v>
      </x:c>
      <x:c r="J51" s="4" t="str"/>
      <x:c r="K51" s="4" t="str">
        <x:v>institutional dictionary plus native mathematics or education source</x:v>
      </x:c>
      <x:c r="L51" s="14" t="str">
        <x:v>No source acquired</x:v>
      </x:c>
      <x:c r="M51" s="4" t="str">
        <x:v>Asturian readers</x:v>
      </x:c>
      <x:c r="N51" s="4" t="str">
        <x:v>true</x:v>
      </x:c>
      <x:c r="O51" s="14" t="str">
        <x:v>Spanish is not a proxy</x:v>
      </x:c>
      <x:c r="P51" s="25" t="str">
        <x:v>0</x:v>
      </x:c>
      <x:c r="Q51" s="25" t="str">
        <x:v>0</x:v>
      </x:c>
      <x:c r="R51" s="14" t="str"/>
      <x:c r="S51" s="14" t="str"/>
      <x:c r="T51" s="25" t="str">
        <x:v>0</x:v>
      </x:c>
      <x:c r="U51" s="25" t="str">
        <x:v>0</x:v>
      </x:c>
      <x:c r="V51" s="25" t="str">
        <x:v>0</x:v>
      </x:c>
      <x:c r="W51" s="4" t="str">
        <x:v>false</x:v>
      </x:c>
      <x:c r="X51" s="14" t="str">
        <x:v>no_active_body</x:v>
      </x:c>
      <x:c r="Y51" s="14" t="str">
        <x:v>explicit_zero_body_gap</x:v>
      </x:c>
      <x:c r="Z51" s="4" t="str">
        <x:v>BD7DAAA5A06B7CB537294203DE327F994499C8154C8016BF99F19BEE252FB8B5</x:v>
      </x:c>
      <x:c r="AA51" s="14" t="str">
        <x:v>route_open_zero_body</x:v>
      </x:c>
      <x:c r="AB51" s="25" t="str">
        <x:v>0</x:v>
      </x:c>
      <x:c r="AC51" s="25" t="str">
        <x:v>0</x:v>
      </x:c>
      <x:c r="AD51" s="14" t="str"/>
      <x:c r="AE51" s="14" t="str">
        <x:v>no_lexical_reference</x:v>
      </x:c>
      <x:c r="AF51" s="4" t="str">
        <x:v>false</x:v>
      </x:c>
      <x:c r="AG51" s="25" t="str">
        <x:v>0</x:v>
      </x:c>
      <x:c r="AH51" s="25" t="str">
        <x:v>0</x:v>
      </x:c>
      <x:c r="AI51" s="14" t="str"/>
      <x:c r="AJ51" s="14" t="str">
        <x:v>explicit_zero_specialist_algebra_body</x:v>
      </x:c>
    </x:row>
    <x:row r="52" ht="46" customHeight="1">
      <x:c r="A52" s="14" t="str">
        <x:v>R051</x:v>
      </x:c>
      <x:c r="B52" s="4" t="str">
        <x:v>leo</x:v>
      </x:c>
      <x:c r="C52" s="4" t="str">
        <x:v>Leonese</x:v>
      </x:c>
      <x:c r="D52" s="4" t="str">
        <x:v>Western Romance</x:v>
      </x:c>
      <x:c r="E52" s="4" t="str">
        <x:v>Astur-Leonese</x:v>
      </x:c>
      <x:c r="F52" s="14" t="str">
        <x:v>regional varieties</x:v>
      </x:c>
      <x:c r="G52" s="4" t="str">
        <x:v>León and Zamora</x:v>
      </x:c>
      <x:c r="H52" s="4" t="str">
        <x:v>Latn</x:v>
      </x:c>
      <x:c r="I52" s="14" t="str">
        <x:v>core_expansion</x:v>
      </x:c>
      <x:c r="J52" s="4" t="str"/>
      <x:c r="K52" s="4" t="str">
        <x:v>regional dictionary plus native educational source</x:v>
      </x:c>
      <x:c r="L52" s="14" t="str">
        <x:v>No source acquired</x:v>
      </x:c>
      <x:c r="M52" s="4" t="str">
        <x:v>Leonese readers</x:v>
      </x:c>
      <x:c r="N52" s="4" t="str">
        <x:v>true</x:v>
      </x:c>
      <x:c r="O52" s="14" t="str">
        <x:v>Spanish and Asturian are not proxies</x:v>
      </x:c>
      <x:c r="P52" s="25" t="str">
        <x:v>0</x:v>
      </x:c>
      <x:c r="Q52" s="25" t="str">
        <x:v>0</x:v>
      </x:c>
      <x:c r="R52" s="14" t="str"/>
      <x:c r="S52" s="14" t="str"/>
      <x:c r="T52" s="25" t="str">
        <x:v>0</x:v>
      </x:c>
      <x:c r="U52" s="25" t="str">
        <x:v>0</x:v>
      </x:c>
      <x:c r="V52" s="25" t="str">
        <x:v>0</x:v>
      </x:c>
      <x:c r="W52" s="4" t="str">
        <x:v>false</x:v>
      </x:c>
      <x:c r="X52" s="14" t="str">
        <x:v>no_active_body</x:v>
      </x:c>
      <x:c r="Y52" s="14" t="str">
        <x:v>explicit_zero_body_gap</x:v>
      </x:c>
      <x:c r="Z52" s="4" t="str">
        <x:v>BD7DAAA5A06B7CB537294203DE327F994499C8154C8016BF99F19BEE252FB8B5</x:v>
      </x:c>
      <x:c r="AA52" s="14" t="str">
        <x:v>route_open_zero_body</x:v>
      </x:c>
      <x:c r="AB52" s="25" t="str">
        <x:v>0</x:v>
      </x:c>
      <x:c r="AC52" s="25" t="str">
        <x:v>0</x:v>
      </x:c>
      <x:c r="AD52" s="14" t="str"/>
      <x:c r="AE52" s="14" t="str">
        <x:v>no_lexical_reference</x:v>
      </x:c>
      <x:c r="AF52" s="4" t="str">
        <x:v>false</x:v>
      </x:c>
      <x:c r="AG52" s="25" t="str">
        <x:v>0</x:v>
      </x:c>
      <x:c r="AH52" s="25" t="str">
        <x:v>0</x:v>
      </x:c>
      <x:c r="AI52" s="14" t="str"/>
      <x:c r="AJ52" s="14" t="str">
        <x:v>explicit_zero_specialist_algebra_body</x:v>
      </x:c>
    </x:row>
    <x:row r="53" ht="46" customHeight="1">
      <x:c r="A53" s="14" t="str">
        <x:v>R052</x:v>
      </x:c>
      <x:c r="B53" s="4" t="str">
        <x:v>mwl</x:v>
      </x:c>
      <x:c r="C53" s="4" t="str">
        <x:v>Mirandese</x:v>
      </x:c>
      <x:c r="D53" s="4" t="str">
        <x:v>Western Romance</x:v>
      </x:c>
      <x:c r="E53" s="4" t="str">
        <x:v>Astur-Leonese</x:v>
      </x:c>
      <x:c r="F53" s="14" t="str">
        <x:v>official regional standard</x:v>
      </x:c>
      <x:c r="G53" s="4" t="str">
        <x:v>Miranda do Douro</x:v>
      </x:c>
      <x:c r="H53" s="4" t="str">
        <x:v>Latn</x:v>
      </x:c>
      <x:c r="I53" s="14" t="str">
        <x:v>core_expansion</x:v>
      </x:c>
      <x:c r="J53" s="4" t="str"/>
      <x:c r="K53" s="4" t="str">
        <x:v>official educational source plus lexicon</x:v>
      </x:c>
      <x:c r="L53" s="14" t="str">
        <x:v>No source acquired</x:v>
      </x:c>
      <x:c r="M53" s="4" t="str">
        <x:v>Mirandese readers</x:v>
      </x:c>
      <x:c r="N53" s="4" t="str">
        <x:v>true</x:v>
      </x:c>
      <x:c r="O53" s="14" t="str">
        <x:v>Portuguese is not a proxy</x:v>
      </x:c>
      <x:c r="P53" s="25" t="str">
        <x:v>0</x:v>
      </x:c>
      <x:c r="Q53" s="25" t="str">
        <x:v>0</x:v>
      </x:c>
      <x:c r="R53" s="14" t="str"/>
      <x:c r="S53" s="14" t="str"/>
      <x:c r="T53" s="25" t="str">
        <x:v>0</x:v>
      </x:c>
      <x:c r="U53" s="25" t="str">
        <x:v>0</x:v>
      </x:c>
      <x:c r="V53" s="25" t="str">
        <x:v>0</x:v>
      </x:c>
      <x:c r="W53" s="4" t="str">
        <x:v>false</x:v>
      </x:c>
      <x:c r="X53" s="14" t="str">
        <x:v>no_active_body</x:v>
      </x:c>
      <x:c r="Y53" s="14" t="str">
        <x:v>explicit_zero_body_gap</x:v>
      </x:c>
      <x:c r="Z53" s="4" t="str">
        <x:v>BD7DAAA5A06B7CB537294203DE327F994499C8154C8016BF99F19BEE252FB8B5</x:v>
      </x:c>
      <x:c r="AA53" s="14" t="str">
        <x:v>route_open_zero_body</x:v>
      </x:c>
      <x:c r="AB53" s="25" t="str">
        <x:v>0</x:v>
      </x:c>
      <x:c r="AC53" s="25" t="str">
        <x:v>0</x:v>
      </x:c>
      <x:c r="AD53" s="14" t="str"/>
      <x:c r="AE53" s="14" t="str">
        <x:v>no_lexical_reference</x:v>
      </x:c>
      <x:c r="AF53" s="4" t="str">
        <x:v>false</x:v>
      </x:c>
      <x:c r="AG53" s="25" t="str">
        <x:v>0</x:v>
      </x:c>
      <x:c r="AH53" s="25" t="str">
        <x:v>0</x:v>
      </x:c>
      <x:c r="AI53" s="14" t="str"/>
      <x:c r="AJ53" s="14" t="str">
        <x:v>explicit_zero_specialist_algebra_body</x:v>
      </x:c>
    </x:row>
    <x:row r="54" ht="46" customHeight="1">
      <x:c r="A54" s="14" t="str">
        <x:v>R053</x:v>
      </x:c>
      <x:c r="B54" s="4" t="str">
        <x:v>an</x:v>
      </x:c>
      <x:c r="C54" s="4" t="str">
        <x:v>Aragonese</x:v>
      </x:c>
      <x:c r="D54" s="4" t="str">
        <x:v>Western Romance</x:v>
      </x:c>
      <x:c r="E54" s="4" t="str">
        <x:v>Ibero-Romance</x:v>
      </x:c>
      <x:c r="F54" s="14" t="str">
        <x:v>regional standard</x:v>
      </x:c>
      <x:c r="G54" s="4" t="str">
        <x:v>Aragon</x:v>
      </x:c>
      <x:c r="H54" s="4" t="str">
        <x:v>Latn</x:v>
      </x:c>
      <x:c r="I54" s="14" t="str">
        <x:v>core_expansion</x:v>
      </x:c>
      <x:c r="J54" s="4" t="str"/>
      <x:c r="K54" s="4" t="str">
        <x:v>institutional dictionary plus native mathematics or education source</x:v>
      </x:c>
      <x:c r="L54" s="14" t="str">
        <x:v>No source acquired</x:v>
      </x:c>
      <x:c r="M54" s="4" t="str">
        <x:v>Aragonese readers</x:v>
      </x:c>
      <x:c r="N54" s="4" t="str">
        <x:v>true</x:v>
      </x:c>
      <x:c r="O54" s="14" t="str">
        <x:v>Spanish is not a proxy</x:v>
      </x:c>
      <x:c r="P54" s="25" t="str">
        <x:v>0</x:v>
      </x:c>
      <x:c r="Q54" s="25" t="str">
        <x:v>0</x:v>
      </x:c>
      <x:c r="R54" s="14" t="str"/>
      <x:c r="S54" s="14" t="str"/>
      <x:c r="T54" s="25" t="str">
        <x:v>0</x:v>
      </x:c>
      <x:c r="U54" s="25" t="str">
        <x:v>0</x:v>
      </x:c>
      <x:c r="V54" s="25" t="str">
        <x:v>0</x:v>
      </x:c>
      <x:c r="W54" s="4" t="str">
        <x:v>false</x:v>
      </x:c>
      <x:c r="X54" s="14" t="str">
        <x:v>no_active_body</x:v>
      </x:c>
      <x:c r="Y54" s="14" t="str">
        <x:v>explicit_zero_body_gap</x:v>
      </x:c>
      <x:c r="Z54" s="4" t="str">
        <x:v>BD7DAAA5A06B7CB537294203DE327F994499C8154C8016BF99F19BEE252FB8B5</x:v>
      </x:c>
      <x:c r="AA54" s="14" t="str">
        <x:v>route_open_zero_body</x:v>
      </x:c>
      <x:c r="AB54" s="25" t="str">
        <x:v>0</x:v>
      </x:c>
      <x:c r="AC54" s="25" t="str">
        <x:v>0</x:v>
      </x:c>
      <x:c r="AD54" s="14" t="str"/>
      <x:c r="AE54" s="14" t="str">
        <x:v>no_lexical_reference</x:v>
      </x:c>
      <x:c r="AF54" s="4" t="str">
        <x:v>false</x:v>
      </x:c>
      <x:c r="AG54" s="25" t="str">
        <x:v>0</x:v>
      </x:c>
      <x:c r="AH54" s="25" t="str">
        <x:v>0</x:v>
      </x:c>
      <x:c r="AI54" s="14" t="str"/>
      <x:c r="AJ54" s="14" t="str">
        <x:v>explicit_zero_specialist_algebra_body</x:v>
      </x:c>
    </x:row>
    <x:row r="55" ht="46" customHeight="1">
      <x:c r="A55" s="14" t="str">
        <x:v>R054</x:v>
      </x:c>
      <x:c r="B55" s="4" t="str">
        <x:v>lad</x:v>
      </x:c>
      <x:c r="C55" s="4" t="str">
        <x:v>Judaeo-Spanish / Ladino</x:v>
      </x:c>
      <x:c r="D55" s="4" t="str">
        <x:v>Western Romance</x:v>
      </x:c>
      <x:c r="E55" s="4" t="str">
        <x:v>Ibero-Romance</x:v>
      </x:c>
      <x:c r="F55" s="14" t="str">
        <x:v>diaspora standards</x:v>
      </x:c>
      <x:c r="G55" s="4" t="str">
        <x:v>Mediterranean diaspora</x:v>
      </x:c>
      <x:c r="H55" s="4" t="str">
        <x:v>Latn;Hebr</x:v>
      </x:c>
      <x:c r="I55" s="14" t="str">
        <x:v>core_expansion</x:v>
      </x:c>
      <x:c r="J55" s="4" t="str"/>
      <x:c r="K55" s="4" t="str">
        <x:v>script-tagged dictionaries plus native technical or educational source</x:v>
      </x:c>
      <x:c r="L55" s="14" t="str">
        <x:v>No source acquired</x:v>
      </x:c>
      <x:c r="M55" s="4" t="str">
        <x:v>Judaeo-Spanish readers by script</x:v>
      </x:c>
      <x:c r="N55" s="4" t="str">
        <x:v>true</x:v>
      </x:c>
      <x:c r="O55" s="14" t="str">
        <x:v>Spanish is not a proxy</x:v>
      </x:c>
      <x:c r="P55" s="25" t="str">
        <x:v>0</x:v>
      </x:c>
      <x:c r="Q55" s="25" t="str">
        <x:v>0</x:v>
      </x:c>
      <x:c r="R55" s="14" t="str"/>
      <x:c r="S55" s="14" t="str"/>
      <x:c r="T55" s="25" t="str">
        <x:v>0</x:v>
      </x:c>
      <x:c r="U55" s="25" t="str">
        <x:v>0</x:v>
      </x:c>
      <x:c r="V55" s="25" t="str">
        <x:v>0</x:v>
      </x:c>
      <x:c r="W55" s="4" t="str">
        <x:v>false</x:v>
      </x:c>
      <x:c r="X55" s="14" t="str">
        <x:v>no_active_body</x:v>
      </x:c>
      <x:c r="Y55" s="14" t="str">
        <x:v>explicit_zero_body_gap</x:v>
      </x:c>
      <x:c r="Z55" s="4" t="str">
        <x:v>BD7DAAA5A06B7CB537294203DE327F994499C8154C8016BF99F19BEE252FB8B5</x:v>
      </x:c>
      <x:c r="AA55" s="14" t="str">
        <x:v>route_open_zero_body</x:v>
      </x:c>
      <x:c r="AB55" s="25" t="str">
        <x:v>0</x:v>
      </x:c>
      <x:c r="AC55" s="25" t="str">
        <x:v>0</x:v>
      </x:c>
      <x:c r="AD55" s="14" t="str"/>
      <x:c r="AE55" s="14" t="str">
        <x:v>no_lexical_reference</x:v>
      </x:c>
      <x:c r="AF55" s="4" t="str">
        <x:v>false</x:v>
      </x:c>
      <x:c r="AG55" s="25" t="str">
        <x:v>0</x:v>
      </x:c>
      <x:c r="AH55" s="25" t="str">
        <x:v>0</x:v>
      </x:c>
      <x:c r="AI55" s="14" t="str"/>
      <x:c r="AJ55" s="14" t="str">
        <x:v>explicit_zero_specialist_algebra_body</x:v>
      </x:c>
    </x:row>
    <x:row r="56" ht="46" customHeight="1">
      <x:c r="A56" s="14" t="str">
        <x:v>R055</x:v>
      </x:c>
      <x:c r="B56" s="4" t="str">
        <x:v>ext</x:v>
      </x:c>
      <x:c r="C56" s="4" t="str">
        <x:v>Extremaduran</x:v>
      </x:c>
      <x:c r="D56" s="4" t="str">
        <x:v>Western Romance</x:v>
      </x:c>
      <x:c r="E56" s="4" t="str">
        <x:v>Ibero-Romance</x:v>
      </x:c>
      <x:c r="F56" s="14" t="str">
        <x:v>regional varieties</x:v>
      </x:c>
      <x:c r="G56" s="4" t="str">
        <x:v>Extremadura</x:v>
      </x:c>
      <x:c r="H56" s="4" t="str">
        <x:v>Latn</x:v>
      </x:c>
      <x:c r="I56" s="14" t="str">
        <x:v>core_expansion</x:v>
      </x:c>
      <x:c r="J56" s="4" t="str"/>
      <x:c r="K56" s="4" t="str">
        <x:v>regional dictionary plus native educational source</x:v>
      </x:c>
      <x:c r="L56" s="14" t="str">
        <x:v>No source acquired</x:v>
      </x:c>
      <x:c r="M56" s="4" t="str">
        <x:v>Extremaduran readers</x:v>
      </x:c>
      <x:c r="N56" s="4" t="str">
        <x:v>true</x:v>
      </x:c>
      <x:c r="O56" s="14" t="str">
        <x:v>Spanish is not a proxy</x:v>
      </x:c>
      <x:c r="P56" s="25" t="str">
        <x:v>0</x:v>
      </x:c>
      <x:c r="Q56" s="25" t="str">
        <x:v>0</x:v>
      </x:c>
      <x:c r="R56" s="14" t="str"/>
      <x:c r="S56" s="14" t="str"/>
      <x:c r="T56" s="25" t="str">
        <x:v>0</x:v>
      </x:c>
      <x:c r="U56" s="25" t="str">
        <x:v>0</x:v>
      </x:c>
      <x:c r="V56" s="25" t="str">
        <x:v>0</x:v>
      </x:c>
      <x:c r="W56" s="4" t="str">
        <x:v>false</x:v>
      </x:c>
      <x:c r="X56" s="14" t="str">
        <x:v>no_active_body</x:v>
      </x:c>
      <x:c r="Y56" s="14" t="str">
        <x:v>explicit_zero_body_gap</x:v>
      </x:c>
      <x:c r="Z56" s="4" t="str">
        <x:v>BD7DAAA5A06B7CB537294203DE327F994499C8154C8016BF99F19BEE252FB8B5</x:v>
      </x:c>
      <x:c r="AA56" s="14" t="str">
        <x:v>route_open_zero_body</x:v>
      </x:c>
      <x:c r="AB56" s="25" t="str">
        <x:v>0</x:v>
      </x:c>
      <x:c r="AC56" s="25" t="str">
        <x:v>0</x:v>
      </x:c>
      <x:c r="AD56" s="14" t="str"/>
      <x:c r="AE56" s="14" t="str">
        <x:v>no_lexical_reference</x:v>
      </x:c>
      <x:c r="AF56" s="4" t="str">
        <x:v>false</x:v>
      </x:c>
      <x:c r="AG56" s="25" t="str">
        <x:v>0</x:v>
      </x:c>
      <x:c r="AH56" s="25" t="str">
        <x:v>0</x:v>
      </x:c>
      <x:c r="AI56" s="14" t="str"/>
      <x:c r="AJ56" s="14" t="str">
        <x:v>explicit_zero_specialist_algebra_body</x:v>
      </x:c>
    </x:row>
    <x:row r="57" ht="46" customHeight="1">
      <x:c r="A57" s="14" t="str">
        <x:v>R056</x:v>
      </x:c>
      <x:c r="B57" s="4" t="str">
        <x:v>ca-val</x:v>
      </x:c>
      <x:c r="C57" s="4" t="str">
        <x:v>Valencian</x:v>
      </x:c>
      <x:c r="D57" s="4" t="str">
        <x:v>Western Romance</x:v>
      </x:c>
      <x:c r="E57" s="4" t="str">
        <x:v>Occitano-Romance</x:v>
      </x:c>
      <x:c r="F57" s="14" t="str">
        <x:v>regional standard</x:v>
      </x:c>
      <x:c r="G57" s="4" t="str">
        <x:v>Valencian Community</x:v>
      </x:c>
      <x:c r="H57" s="4" t="str">
        <x:v>Latn</x:v>
      </x:c>
      <x:c r="I57" s="14" t="str">
        <x:v>core_expansion</x:v>
      </x:c>
      <x:c r="J57" s="4" t="str"/>
      <x:c r="K57" s="4" t="str">
        <x:v>Valencian edition-tagged mathematics source</x:v>
      </x:c>
      <x:c r="L57" s="14" t="str">
        <x:v>No region-tagged source acquired</x:v>
      </x:c>
      <x:c r="M57" s="4" t="str">
        <x:v>Valencian readers</x:v>
      </x:c>
      <x:c r="N57" s="4" t="str">
        <x:v>true</x:v>
      </x:c>
      <x:c r="O57" s="14" t="str">
        <x:v>Catalan evidence remains standard-tagged</x:v>
      </x:c>
      <x:c r="P57" s="25" t="str">
        <x:v>0</x:v>
      </x:c>
      <x:c r="Q57" s="25" t="str">
        <x:v>0</x:v>
      </x:c>
      <x:c r="R57" s="14" t="str"/>
      <x:c r="S57" s="14" t="str"/>
      <x:c r="T57" s="25" t="str">
        <x:v>0</x:v>
      </x:c>
      <x:c r="U57" s="25" t="str">
        <x:v>0</x:v>
      </x:c>
      <x:c r="V57" s="25" t="str">
        <x:v>0</x:v>
      </x:c>
      <x:c r="W57" s="4" t="str">
        <x:v>false</x:v>
      </x:c>
      <x:c r="X57" s="14" t="str">
        <x:v>no_active_body</x:v>
      </x:c>
      <x:c r="Y57" s="14" t="str">
        <x:v>explicit_zero_body_gap</x:v>
      </x:c>
      <x:c r="Z57" s="4" t="str">
        <x:v>BD7DAAA5A06B7CB537294203DE327F994499C8154C8016BF99F19BEE252FB8B5</x:v>
      </x:c>
      <x:c r="AA57" s="14" t="str">
        <x:v>route_open_zero_body</x:v>
      </x:c>
      <x:c r="AB57" s="25" t="str">
        <x:v>0</x:v>
      </x:c>
      <x:c r="AC57" s="25" t="str">
        <x:v>0</x:v>
      </x:c>
      <x:c r="AD57" s="14" t="str"/>
      <x:c r="AE57" s="14" t="str">
        <x:v>no_lexical_reference</x:v>
      </x:c>
      <x:c r="AF57" s="4" t="str">
        <x:v>false</x:v>
      </x:c>
      <x:c r="AG57" s="25" t="str">
        <x:v>0</x:v>
      </x:c>
      <x:c r="AH57" s="25" t="str">
        <x:v>0</x:v>
      </x:c>
      <x:c r="AI57" s="14" t="str"/>
      <x:c r="AJ57" s="14" t="str">
        <x:v>explicit_zero_specialist_algebra_body</x:v>
      </x:c>
    </x:row>
    <x:row r="58" ht="46" customHeight="1">
      <x:c r="A58" s="14" t="str">
        <x:v>R057</x:v>
      </x:c>
      <x:c r="B58" s="4" t="str">
        <x:v>ca-bal</x:v>
      </x:c>
      <x:c r="C58" s="4" t="str">
        <x:v>Balearic Catalan</x:v>
      </x:c>
      <x:c r="D58" s="4" t="str">
        <x:v>Western Romance</x:v>
      </x:c>
      <x:c r="E58" s="4" t="str">
        <x:v>Occitano-Romance</x:v>
      </x:c>
      <x:c r="F58" s="14" t="str">
        <x:v>regional varieties</x:v>
      </x:c>
      <x:c r="G58" s="4" t="str">
        <x:v>Balearic Islands</x:v>
      </x:c>
      <x:c r="H58" s="4" t="str">
        <x:v>Latn</x:v>
      </x:c>
      <x:c r="I58" s="14" t="str">
        <x:v>core_expansion</x:v>
      </x:c>
      <x:c r="J58" s="4" t="str"/>
      <x:c r="K58" s="4" t="str">
        <x:v>Balearic edition-tagged mathematics source</x:v>
      </x:c>
      <x:c r="L58" s="14" t="str">
        <x:v>No region-tagged source acquired</x:v>
      </x:c>
      <x:c r="M58" s="4" t="str">
        <x:v>Balearic readers</x:v>
      </x:c>
      <x:c r="N58" s="4" t="str">
        <x:v>true</x:v>
      </x:c>
      <x:c r="O58" s="14" t="str">
        <x:v>Catalan evidence remains region-tagged</x:v>
      </x:c>
      <x:c r="P58" s="25" t="str">
        <x:v>0</x:v>
      </x:c>
      <x:c r="Q58" s="25" t="str">
        <x:v>0</x:v>
      </x:c>
      <x:c r="R58" s="14" t="str"/>
      <x:c r="S58" s="14" t="str"/>
      <x:c r="T58" s="25" t="str">
        <x:v>0</x:v>
      </x:c>
      <x:c r="U58" s="25" t="str">
        <x:v>0</x:v>
      </x:c>
      <x:c r="V58" s="25" t="str">
        <x:v>0</x:v>
      </x:c>
      <x:c r="W58" s="4" t="str">
        <x:v>false</x:v>
      </x:c>
      <x:c r="X58" s="14" t="str">
        <x:v>no_active_body</x:v>
      </x:c>
      <x:c r="Y58" s="14" t="str">
        <x:v>explicit_zero_body_gap</x:v>
      </x:c>
      <x:c r="Z58" s="4" t="str">
        <x:v>BD7DAAA5A06B7CB537294203DE327F994499C8154C8016BF99F19BEE252FB8B5</x:v>
      </x:c>
      <x:c r="AA58" s="14" t="str">
        <x:v>route_open_zero_body</x:v>
      </x:c>
      <x:c r="AB58" s="25" t="str">
        <x:v>0</x:v>
      </x:c>
      <x:c r="AC58" s="25" t="str">
        <x:v>0</x:v>
      </x:c>
      <x:c r="AD58" s="14" t="str"/>
      <x:c r="AE58" s="14" t="str">
        <x:v>no_lexical_reference</x:v>
      </x:c>
      <x:c r="AF58" s="4" t="str">
        <x:v>false</x:v>
      </x:c>
      <x:c r="AG58" s="25" t="str">
        <x:v>0</x:v>
      </x:c>
      <x:c r="AH58" s="25" t="str">
        <x:v>0</x:v>
      </x:c>
      <x:c r="AI58" s="14" t="str"/>
      <x:c r="AJ58" s="14" t="str">
        <x:v>explicit_zero_specialist_algebra_body</x:v>
      </x:c>
    </x:row>
    <x:row r="59" ht="46" customHeight="1">
      <x:c r="A59" s="14" t="str">
        <x:v>R058</x:v>
      </x:c>
      <x:c r="B59" s="4" t="str">
        <x:v>mxi</x:v>
      </x:c>
      <x:c r="C59" s="4" t="str">
        <x:v>Mozarabic</x:v>
      </x:c>
      <x:c r="D59" s="4" t="str">
        <x:v>Western Romance</x:v>
      </x:c>
      <x:c r="E59" s="4" t="str">
        <x:v>Ibero-Romance</x:v>
      </x:c>
      <x:c r="F59" s="14" t="str">
        <x:v>extinct historical</x:v>
      </x:c>
      <x:c r="G59" s="4" t="str">
        <x:v>Medieval Iberia</x:v>
      </x:c>
      <x:c r="H59" s="4" t="str">
        <x:v>Arab;Latn</x:v>
      </x:c>
      <x:c r="I59" s="14" t="str">
        <x:v>historical_diachronic</x:v>
      </x:c>
      <x:c r="J59" s="4" t="str"/>
      <x:c r="K59" s="4" t="str">
        <x:v>critical editions and historical dictionaries</x:v>
      </x:c>
      <x:c r="L59" s="14" t="str">
        <x:v>No source acquired</x:v>
      </x:c>
      <x:c r="M59" s="4" t="str">
        <x:v>Historical evidence only</x:v>
      </x:c>
      <x:c r="N59" s="4" t="str">
        <x:v>true</x:v>
      </x:c>
      <x:c r="O59" s="14" t="str">
        <x:v>Diachronic input only</x:v>
      </x:c>
      <x:c r="P59" s="25" t="str">
        <x:v>0</x:v>
      </x:c>
      <x:c r="Q59" s="25" t="str">
        <x:v>0</x:v>
      </x:c>
      <x:c r="R59" s="14" t="str"/>
      <x:c r="S59" s="14" t="str"/>
      <x:c r="T59" s="25" t="str">
        <x:v>0</x:v>
      </x:c>
      <x:c r="U59" s="25" t="str">
        <x:v>0</x:v>
      </x:c>
      <x:c r="V59" s="25" t="str">
        <x:v>0</x:v>
      </x:c>
      <x:c r="W59" s="4" t="str">
        <x:v>false</x:v>
      </x:c>
      <x:c r="X59" s="14" t="str">
        <x:v>no_active_body</x:v>
      </x:c>
      <x:c r="Y59" s="14" t="str">
        <x:v>explicit_zero_body_gap</x:v>
      </x:c>
      <x:c r="Z59" s="4" t="str">
        <x:v>BD7DAAA5A06B7CB537294203DE327F994499C8154C8016BF99F19BEE252FB8B5</x:v>
      </x:c>
      <x:c r="AA59" s="14" t="str">
        <x:v>route_open_zero_body</x:v>
      </x:c>
      <x:c r="AB59" s="25" t="str">
        <x:v>0</x:v>
      </x:c>
      <x:c r="AC59" s="25" t="str">
        <x:v>0</x:v>
      </x:c>
      <x:c r="AD59" s="14" t="str"/>
      <x:c r="AE59" s="14" t="str">
        <x:v>no_lexical_reference</x:v>
      </x:c>
      <x:c r="AF59" s="4" t="str">
        <x:v>false</x:v>
      </x:c>
      <x:c r="AG59" s="25" t="str">
        <x:v>0</x:v>
      </x:c>
      <x:c r="AH59" s="25" t="str">
        <x:v>0</x:v>
      </x:c>
      <x:c r="AI59" s="14" t="str"/>
      <x:c r="AJ59" s="14" t="str">
        <x:v>explicit_zero_specialist_algebra_body</x:v>
      </x:c>
    </x:row>
    <x:row r="60" ht="46" customHeight="1">
      <x:c r="A60" s="14" t="str">
        <x:v>R059</x:v>
      </x:c>
      <x:c r="B60" s="4" t="str">
        <x:v>la</x:v>
      </x:c>
      <x:c r="C60" s="4" t="str">
        <x:v>Latin</x:v>
      </x:c>
      <x:c r="D60" s="4" t="str">
        <x:v>Romance ancestor</x:v>
      </x:c>
      <x:c r="E60" s="4" t="str">
        <x:v>Latin</x:v>
      </x:c>
      <x:c r="F60" s="14" t="str">
        <x:v>classical medieval and scientific registers</x:v>
      </x:c>
      <x:c r="G60" s="4" t="str">
        <x:v>Europe</x:v>
      </x:c>
      <x:c r="H60" s="4" t="str">
        <x:v>Latn</x:v>
      </x:c>
      <x:c r="I60" s="14" t="str">
        <x:v>historical_diachronic</x:v>
      </x:c>
      <x:c r="J60" s="4" t="str"/>
      <x:c r="K60" s="4" t="str">
        <x:v>dated critical and scientific editions</x:v>
      </x:c>
      <x:c r="L60" s="14" t="str">
        <x:v>No source acquired</x:v>
      </x:c>
      <x:c r="M60" s="4" t="str">
        <x:v>Historical evidence only</x:v>
      </x:c>
      <x:c r="N60" s="4" t="str">
        <x:v>true</x:v>
      </x:c>
      <x:c r="O60" s="14" t="str">
        <x:v>Not counted as a modern Romance cohort</x:v>
      </x:c>
      <x:c r="P60" s="25" t="str">
        <x:v>0</x:v>
      </x:c>
      <x:c r="Q60" s="25" t="str">
        <x:v>0</x:v>
      </x:c>
      <x:c r="R60" s="14" t="str"/>
      <x:c r="S60" s="14" t="str"/>
      <x:c r="T60" s="25" t="str">
        <x:v>0</x:v>
      </x:c>
      <x:c r="U60" s="25" t="str">
        <x:v>0</x:v>
      </x:c>
      <x:c r="V60" s="25" t="str">
        <x:v>0</x:v>
      </x:c>
      <x:c r="W60" s="4" t="str">
        <x:v>false</x:v>
      </x:c>
      <x:c r="X60" s="14" t="str">
        <x:v>no_active_body</x:v>
      </x:c>
      <x:c r="Y60" s="14" t="str">
        <x:v>explicit_zero_body_gap</x:v>
      </x:c>
      <x:c r="Z60" s="4" t="str">
        <x:v>BD7DAAA5A06B7CB537294203DE327F994499C8154C8016BF99F19BEE252FB8B5</x:v>
      </x:c>
      <x:c r="AA60" s="14" t="str">
        <x:v>route_open_zero_body</x:v>
      </x:c>
      <x:c r="AB60" s="25" t="str">
        <x:v>0</x:v>
      </x:c>
      <x:c r="AC60" s="25" t="str">
        <x:v>0</x:v>
      </x:c>
      <x:c r="AD60" s="14" t="str"/>
      <x:c r="AE60" s="14" t="str">
        <x:v>no_lexical_reference</x:v>
      </x:c>
      <x:c r="AF60" s="4" t="str">
        <x:v>false</x:v>
      </x:c>
      <x:c r="AG60" s="25" t="str">
        <x:v>0</x:v>
      </x:c>
      <x:c r="AH60" s="25" t="str">
        <x:v>0</x:v>
      </x:c>
      <x:c r="AI60" s="14" t="str"/>
      <x:c r="AJ60" s="14" t="str">
        <x:v>explicit_zero_specialist_algebra_body</x:v>
      </x:c>
    </x:row>
    <x:row r="61" ht="46" customHeight="1">
      <x:c r="A61" s="14" t="str">
        <x:v>R060</x:v>
      </x:c>
      <x:c r="B61" s="4" t="str">
        <x:v>pap</x:v>
      </x:c>
      <x:c r="C61" s="4" t="str">
        <x:v>Papiamento</x:v>
      </x:c>
      <x:c r="D61" s="4" t="str">
        <x:v>Romance-lexifier contact</x:v>
      </x:c>
      <x:c r="E61" s="4" t="str">
        <x:v>Creole</x:v>
      </x:c>
      <x:c r="F61" s="14" t="str">
        <x:v>standard</x:v>
      </x:c>
      <x:c r="G61" s="4" t="str">
        <x:v>Caribbean</x:v>
      </x:c>
      <x:c r="H61" s="4" t="str">
        <x:v>Latn</x:v>
      </x:c>
      <x:c r="I61" s="14" t="str">
        <x:v>contact_comparator</x:v>
      </x:c>
      <x:c r="J61" s="4" t="str"/>
      <x:c r="K61" s="4" t="str">
        <x:v>standard dictionary plus technical source</x:v>
      </x:c>
      <x:c r="L61" s="14" t="str">
        <x:v>No source acquired</x:v>
      </x:c>
      <x:c r="M61" s="4" t="str">
        <x:v>Separate contact-language study</x:v>
      </x:c>
      <x:c r="N61" s="4" t="str">
        <x:v>true</x:v>
      </x:c>
      <x:c r="O61" s="14" t="str">
        <x:v>Excluded from genetic-family score by default</x:v>
      </x:c>
      <x:c r="P61" s="25" t="str">
        <x:v>0</x:v>
      </x:c>
      <x:c r="Q61" s="25" t="str">
        <x:v>0</x:v>
      </x:c>
      <x:c r="R61" s="14" t="str"/>
      <x:c r="S61" s="14" t="str"/>
      <x:c r="T61" s="25" t="str">
        <x:v>0</x:v>
      </x:c>
      <x:c r="U61" s="25" t="str">
        <x:v>0</x:v>
      </x:c>
      <x:c r="V61" s="25" t="str">
        <x:v>0</x:v>
      </x:c>
      <x:c r="W61" s="4" t="str">
        <x:v>false</x:v>
      </x:c>
      <x:c r="X61" s="14" t="str">
        <x:v>no_active_body</x:v>
      </x:c>
      <x:c r="Y61" s="14" t="str">
        <x:v>explicit_zero_body_gap</x:v>
      </x:c>
      <x:c r="Z61" s="4" t="str">
        <x:v>BD7DAAA5A06B7CB537294203DE327F994499C8154C8016BF99F19BEE252FB8B5</x:v>
      </x:c>
      <x:c r="AA61" s="14" t="str">
        <x:v>route_open_zero_body</x:v>
      </x:c>
      <x:c r="AB61" s="25" t="str">
        <x:v>0</x:v>
      </x:c>
      <x:c r="AC61" s="25" t="str">
        <x:v>0</x:v>
      </x:c>
      <x:c r="AD61" s="14" t="str"/>
      <x:c r="AE61" s="14" t="str">
        <x:v>no_lexical_reference</x:v>
      </x:c>
      <x:c r="AF61" s="4" t="str">
        <x:v>false</x:v>
      </x:c>
      <x:c r="AG61" s="25" t="str">
        <x:v>0</x:v>
      </x:c>
      <x:c r="AH61" s="25" t="str">
        <x:v>0</x:v>
      </x:c>
      <x:c r="AI61" s="14" t="str"/>
      <x:c r="AJ61" s="14" t="str">
        <x:v>explicit_zero_specialist_algebra_body</x:v>
      </x:c>
    </x:row>
    <x:row r="62" ht="46" customHeight="1">
      <x:c r="A62" s="14" t="str">
        <x:v>R061</x:v>
      </x:c>
      <x:c r="B62" s="4" t="str">
        <x:v>ht</x:v>
      </x:c>
      <x:c r="C62" s="4" t="str">
        <x:v>Haitian Creole</x:v>
      </x:c>
      <x:c r="D62" s="4" t="str">
        <x:v>Romance-lexifier contact</x:v>
      </x:c>
      <x:c r="E62" s="4" t="str">
        <x:v>Creole</x:v>
      </x:c>
      <x:c r="F62" s="14" t="str">
        <x:v>standard</x:v>
      </x:c>
      <x:c r="G62" s="4" t="str">
        <x:v>Haiti</x:v>
      </x:c>
      <x:c r="H62" s="4" t="str">
        <x:v>Latn</x:v>
      </x:c>
      <x:c r="I62" s="14" t="str">
        <x:v>contact_comparator</x:v>
      </x:c>
      <x:c r="J62" s="4" t="str"/>
      <x:c r="K62" s="4" t="str">
        <x:v>standard dictionary plus technical source</x:v>
      </x:c>
      <x:c r="L62" s="14" t="str">
        <x:v>No source acquired</x:v>
      </x:c>
      <x:c r="M62" s="4" t="str">
        <x:v>Separate contact-language study</x:v>
      </x:c>
      <x:c r="N62" s="4" t="str">
        <x:v>true</x:v>
      </x:c>
      <x:c r="O62" s="14" t="str">
        <x:v>Excluded from genetic-family score by default</x:v>
      </x:c>
      <x:c r="P62" s="25" t="str">
        <x:v>0</x:v>
      </x:c>
      <x:c r="Q62" s="25" t="str">
        <x:v>0</x:v>
      </x:c>
      <x:c r="R62" s="14" t="str"/>
      <x:c r="S62" s="14" t="str"/>
      <x:c r="T62" s="25" t="str">
        <x:v>0</x:v>
      </x:c>
      <x:c r="U62" s="25" t="str">
        <x:v>0</x:v>
      </x:c>
      <x:c r="V62" s="25" t="str">
        <x:v>0</x:v>
      </x:c>
      <x:c r="W62" s="4" t="str">
        <x:v>false</x:v>
      </x:c>
      <x:c r="X62" s="14" t="str">
        <x:v>no_active_body</x:v>
      </x:c>
      <x:c r="Y62" s="14" t="str">
        <x:v>explicit_zero_body_gap</x:v>
      </x:c>
      <x:c r="Z62" s="4" t="str">
        <x:v>BD7DAAA5A06B7CB537294203DE327F994499C8154C8016BF99F19BEE252FB8B5</x:v>
      </x:c>
      <x:c r="AA62" s="14" t="str">
        <x:v>route_open_zero_body</x:v>
      </x:c>
      <x:c r="AB62" s="25" t="str">
        <x:v>0</x:v>
      </x:c>
      <x:c r="AC62" s="25" t="str">
        <x:v>0</x:v>
      </x:c>
      <x:c r="AD62" s="14" t="str"/>
      <x:c r="AE62" s="14" t="str">
        <x:v>no_lexical_reference</x:v>
      </x:c>
      <x:c r="AF62" s="4" t="str">
        <x:v>false</x:v>
      </x:c>
      <x:c r="AG62" s="25" t="str">
        <x:v>0</x:v>
      </x:c>
      <x:c r="AH62" s="25" t="str">
        <x:v>0</x:v>
      </x:c>
      <x:c r="AI62" s="14" t="str"/>
      <x:c r="AJ62" s="14" t="str">
        <x:v>explicit_zero_specialist_algebra_body</x:v>
      </x:c>
    </x:row>
  </x:sheetData>
  <x:pageMargins left="0.7" right="0.7" top="0.75" bottom="0.75" header="0.3" footer="0.3"/>
  <x:tableParts count="1">
    <x:tablePart xmlns:r="http://schemas.openxmlformats.org/officeDocument/2006/relationships" r:id="R0452f1f1356d4a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6" hidden="0" customWidth="1"/>
    <x:col min="5" max="5" width="13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16" hidden="0" customWidth="1"/>
    <x:col min="13" max="13" width="30" hidden="0" customWidth="1"/>
    <x:col min="14" max="14" width="14" hidden="0" customWidth="1"/>
    <x:col min="15" max="15" width="30" hidden="0" customWidth="1"/>
    <x:col min="16" max="16" width="16" hidden="0" customWidth="1"/>
    <x:col min="17" max="17" width="16" hidden="0" customWidth="1"/>
    <x:col min="18" max="18" width="20" hidden="0" customWidth="1"/>
  </x:cols>
  <x:sheetData>
    <x:row r="1" ht="32" customHeight="1">
      <x:c r="A1" s="12" t="str">
        <x:v>language</x:v>
      </x:c>
      <x:c r="B1" s="24" t="str">
        <x:v>records</x:v>
      </x:c>
      <x:c r="C1" s="24" t="str">
        <x:v>primary_unique_records</x:v>
      </x:c>
      <x:c r="D1" s="12" t="str">
        <x:v>unique_logical_sources</x:v>
      </x:c>
      <x:c r="E1" s="24" t="str">
        <x:v>counting_eligible</x:v>
      </x:c>
      <x:c r="F1" s="12" t="str">
        <x:v>active_body_eligible</x:v>
      </x:c>
      <x:c r="G1" s="24" t="str">
        <x:v>official_lexical_reference_records</x:v>
      </x:c>
      <x:c r="H1" s="24" t="str">
        <x:v>bytes</x:v>
      </x:c>
      <x:c r="I1" s="24" t="str">
        <x:v>active_body_bytes</x:v>
      </x:c>
      <x:c r="J1" s="24" t="str">
        <x:v>all_primary_bytes</x:v>
      </x:c>
      <x:c r="K1" s="12" t="str">
        <x:v>declared_open_license_primary</x:v>
      </x:c>
      <x:c r="L1" s="12" t="str">
        <x:v>license_unresolved_primary</x:v>
      </x:c>
      <x:c r="M1" s="12" t="str">
        <x:v>domains</x:v>
      </x:c>
      <x:c r="N1" s="12" t="str">
        <x:v>term_promotion_eligible</x:v>
      </x:c>
      <x:c r="O1" s="12" t="str">
        <x:v>body_status</x:v>
      </x:c>
      <x:c r="P1" s="12" t="str">
        <x:v>specialist_algebra_active_bodies</x:v>
      </x:c>
      <x:c r="Q1" s="12" t="str">
        <x:v>translation_families</x:v>
      </x:c>
      <x:c r="R1" s="12" t="str">
        <x:v>variety_codes</x:v>
      </x:c>
    </x:row>
    <x:row r="2" ht="28" customHeight="1">
      <x:c r="A2" s="4" t="str">
        <x:v>ca</x:v>
      </x:c>
      <x:c r="B2" s="25" t="str">
        <x:v>11</x:v>
      </x:c>
      <x:c r="C2" s="25" t="str">
        <x:v>10</x:v>
      </x:c>
      <x:c r="D2" s="4" t="str">
        <x:v>10</x:v>
      </x:c>
      <x:c r="E2" s="25" t="str">
        <x:v>6</x:v>
      </x:c>
      <x:c r="F2" s="4" t="str">
        <x:v>6</x:v>
      </x:c>
      <x:c r="G2" s="25" t="str">
        <x:v>0</x:v>
      </x:c>
      <x:c r="H2" s="25" t="str">
        <x:v>1102317</x:v>
      </x:c>
      <x:c r="I2" s="25" t="str">
        <x:v>1102317</x:v>
      </x:c>
      <x:c r="J2" s="25" t="str">
        <x:v>1228650</x:v>
      </x:c>
      <x:c r="K2" s="4" t="str">
        <x:v>10</x:v>
      </x:c>
      <x:c r="L2" s="4" t="str">
        <x:v>0</x:v>
      </x:c>
      <x:c r="M2" s="14" t="str">
        <x:v>abstract_algebra;group_theory;mathematics_general;module_theory;proof_register;ring_theory</x:v>
      </x:c>
      <x:c r="N2" s="4" t="str">
        <x:v>0</x:v>
      </x:c>
      <x:c r="O2" s="14" t="str">
        <x:v>substantive_body_present</x:v>
      </x:c>
      <x:c r="P2" s="4" t="str">
        <x:v>4</x:v>
      </x:c>
      <x:c r="Q2" s="4" t="str">
        <x:v>0</x:v>
      </x:c>
      <x:c r="R2" s="4" t="str">
        <x:v>ca</x:v>
      </x:c>
    </x:row>
    <x:row r="3" ht="28" customHeight="1">
      <x:c r="A3" s="4" t="str">
        <x:v>es</x:v>
      </x:c>
      <x:c r="B3" s="25" t="str">
        <x:v>70</x:v>
      </x:c>
      <x:c r="C3" s="25" t="str">
        <x:v>66</x:v>
      </x:c>
      <x:c r="D3" s="4" t="str">
        <x:v>66</x:v>
      </x:c>
      <x:c r="E3" s="25" t="str">
        <x:v>9</x:v>
      </x:c>
      <x:c r="F3" s="4" t="str">
        <x:v>9</x:v>
      </x:c>
      <x:c r="G3" s="25" t="str">
        <x:v>0</x:v>
      </x:c>
      <x:c r="H3" s="25" t="str">
        <x:v>895422</x:v>
      </x:c>
      <x:c r="I3" s="25" t="str">
        <x:v>895422</x:v>
      </x:c>
      <x:c r="J3" s="25" t="str">
        <x:v>3019093</x:v>
      </x:c>
      <x:c r="K3" s="4" t="str">
        <x:v>12</x:v>
      </x:c>
      <x:c r="L3" s="4" t="str">
        <x:v>53</x:v>
      </x:c>
      <x:c r="M3" s="14" t="str">
        <x:v>abstract_algebra;field_theory;group_theory;mathematics_general;mathematics_mixed;module_theory;proof_register;ring_theory</x:v>
      </x:c>
      <x:c r="N3" s="4" t="str">
        <x:v>0</x:v>
      </x:c>
      <x:c r="O3" s="14" t="str">
        <x:v>substantive_body_present</x:v>
      </x:c>
      <x:c r="P3" s="4" t="str">
        <x:v>6</x:v>
      </x:c>
      <x:c r="Q3" s="4" t="str">
        <x:v>0</x:v>
      </x:c>
      <x:c r="R3" s="4" t="str">
        <x:v>es</x:v>
      </x:c>
    </x:row>
    <x:row r="4" ht="28" customHeight="1">
      <x:c r="A4" s="4" t="str">
        <x:v>fr</x:v>
      </x:c>
      <x:c r="B4" s="25" t="str">
        <x:v>30</x:v>
      </x:c>
      <x:c r="C4" s="25" t="str">
        <x:v>30</x:v>
      </x:c>
      <x:c r="D4" s="4" t="str">
        <x:v>30</x:v>
      </x:c>
      <x:c r="E4" s="25" t="str">
        <x:v>21</x:v>
      </x:c>
      <x:c r="F4" s="4" t="str">
        <x:v>21</x:v>
      </x:c>
      <x:c r="G4" s="25" t="str">
        <x:v>0</x:v>
      </x:c>
      <x:c r="H4" s="25" t="str">
        <x:v>1692746</x:v>
      </x:c>
      <x:c r="I4" s="25" t="str">
        <x:v>1692746</x:v>
      </x:c>
      <x:c r="J4" s="25" t="str">
        <x:v>2009122</x:v>
      </x:c>
      <x:c r="K4" s="4" t="str">
        <x:v>14</x:v>
      </x:c>
      <x:c r="L4" s="4" t="str">
        <x:v>15</x:v>
      </x:c>
      <x:c r="M4" s="14" t="str">
        <x:v>abstract_algebra;field_theory;group_theory;mathematics_general;mathematics_mixed;module_theory;proof_register;ring_theory</x:v>
      </x:c>
      <x:c r="N4" s="4" t="str">
        <x:v>0</x:v>
      </x:c>
      <x:c r="O4" s="14" t="str">
        <x:v>substantive_body_present</x:v>
      </x:c>
      <x:c r="P4" s="4" t="str">
        <x:v>5</x:v>
      </x:c>
      <x:c r="Q4" s="4" t="str">
        <x:v>0</x:v>
      </x:c>
      <x:c r="R4" s="4" t="str">
        <x:v>fr</x:v>
      </x:c>
    </x:row>
    <x:row r="5" ht="28" customHeight="1">
      <x:c r="A5" s="4" t="str">
        <x:v>fr_es</x:v>
      </x:c>
      <x:c r="B5" s="25" t="str">
        <x:v>4</x:v>
      </x:c>
      <x:c r="C5" s="25" t="str">
        <x:v>4</x:v>
      </x:c>
      <x:c r="D5" s="4" t="str">
        <x:v>4</x:v>
      </x:c>
      <x:c r="E5" s="25" t="str">
        <x:v>0</x:v>
      </x:c>
      <x:c r="F5" s="4" t="str">
        <x:v>0</x:v>
      </x:c>
      <x:c r="G5" s="25" t="str">
        <x:v>0</x:v>
      </x:c>
      <x:c r="H5" s="25" t="str">
        <x:v>0</x:v>
      </x:c>
      <x:c r="I5" s="25" t="str">
        <x:v>0</x:v>
      </x:c>
      <x:c r="J5" s="25" t="str">
        <x:v>118757</x:v>
      </x:c>
      <x:c r="K5" s="4" t="str">
        <x:v>0</x:v>
      </x:c>
      <x:c r="L5" s="4" t="str">
        <x:v>0</x:v>
      </x:c>
      <x:c r="M5" s="14" t="str"/>
      <x:c r="N5" s="4" t="str">
        <x:v>0</x:v>
      </x:c>
      <x:c r="O5" s="14" t="str">
        <x:v>auxiliary_or_generated_only</x:v>
      </x:c>
      <x:c r="P5" s="4" t="str">
        <x:v>0</x:v>
      </x:c>
      <x:c r="Q5" s="4" t="str">
        <x:v>0</x:v>
      </x:c>
      <x:c r="R5" s="4" t="str">
        <x:v>fr-es-generated</x:v>
      </x:c>
    </x:row>
    <x:row r="6" ht="28" customHeight="1">
      <x:c r="A6" s="4" t="str">
        <x:v>gl</x:v>
      </x:c>
      <x:c r="B6" s="25" t="str">
        <x:v>6</x:v>
      </x:c>
      <x:c r="C6" s="25" t="str">
        <x:v>6</x:v>
      </x:c>
      <x:c r="D6" s="4" t="str">
        <x:v>6</x:v>
      </x:c>
      <x:c r="E6" s="25" t="str">
        <x:v>6</x:v>
      </x:c>
      <x:c r="F6" s="4" t="str">
        <x:v>6</x:v>
      </x:c>
      <x:c r="G6" s="25" t="str">
        <x:v>0</x:v>
      </x:c>
      <x:c r="H6" s="25" t="str">
        <x:v>1261078</x:v>
      </x:c>
      <x:c r="I6" s="25" t="str">
        <x:v>1261078</x:v>
      </x:c>
      <x:c r="J6" s="25" t="str">
        <x:v>1261078</x:v>
      </x:c>
      <x:c r="K6" s="4" t="str">
        <x:v>6</x:v>
      </x:c>
      <x:c r="L6" s="4" t="str">
        <x:v>0</x:v>
      </x:c>
      <x:c r="M6" s="14" t="str">
        <x:v>abstract_algebra;field_theory;group_theory;mathematics_general;module_theory;proof_register;ring_theory</x:v>
      </x:c>
      <x:c r="N6" s="4" t="str">
        <x:v>0</x:v>
      </x:c>
      <x:c r="O6" s="14" t="str">
        <x:v>substantive_body_present</x:v>
      </x:c>
      <x:c r="P6" s="4" t="str">
        <x:v>5</x:v>
      </x:c>
      <x:c r="Q6" s="4" t="str">
        <x:v>0</x:v>
      </x:c>
      <x:c r="R6" s="4" t="str">
        <x:v>gl</x:v>
      </x:c>
    </x:row>
    <x:row r="7" ht="28" customHeight="1">
      <x:c r="A7" s="4" t="str">
        <x:v>it</x:v>
      </x:c>
      <x:c r="B7" s="25" t="str">
        <x:v>8</x:v>
      </x:c>
      <x:c r="C7" s="25" t="str">
        <x:v>8</x:v>
      </x:c>
      <x:c r="D7" s="4" t="str">
        <x:v>8</x:v>
      </x:c>
      <x:c r="E7" s="25" t="str">
        <x:v>8</x:v>
      </x:c>
      <x:c r="F7" s="4" t="str">
        <x:v>8</x:v>
      </x:c>
      <x:c r="G7" s="25" t="str">
        <x:v>0</x:v>
      </x:c>
      <x:c r="H7" s="25" t="str">
        <x:v>1641920</x:v>
      </x:c>
      <x:c r="I7" s="25" t="str">
        <x:v>1641920</x:v>
      </x:c>
      <x:c r="J7" s="25" t="str">
        <x:v>1641920</x:v>
      </x:c>
      <x:c r="K7" s="4" t="str">
        <x:v>6</x:v>
      </x:c>
      <x:c r="L7" s="4" t="str">
        <x:v>2</x:v>
      </x:c>
      <x:c r="M7" s="14" t="str">
        <x:v>abstract_algebra;analysis;field_theory;group_theory;mathematics_general;module_theory;proof_register;ring_theory</x:v>
      </x:c>
      <x:c r="N7" s="4" t="str">
        <x:v>0</x:v>
      </x:c>
      <x:c r="O7" s="14" t="str">
        <x:v>substantive_body_present</x:v>
      </x:c>
      <x:c r="P7" s="4" t="str">
        <x:v>6</x:v>
      </x:c>
      <x:c r="Q7" s="4" t="str">
        <x:v>0</x:v>
      </x:c>
      <x:c r="R7" s="4" t="str">
        <x:v>it</x:v>
      </x:c>
    </x:row>
    <x:row r="8" ht="28" customHeight="1">
      <x:c r="A8" s="4" t="str">
        <x:v>pt</x:v>
      </x:c>
      <x:c r="B8" s="25" t="str">
        <x:v>10</x:v>
      </x:c>
      <x:c r="C8" s="25" t="str">
        <x:v>9</x:v>
      </x:c>
      <x:c r="D8" s="4" t="str">
        <x:v>9</x:v>
      </x:c>
      <x:c r="E8" s="25" t="str">
        <x:v>7</x:v>
      </x:c>
      <x:c r="F8" s="4" t="str">
        <x:v>7</x:v>
      </x:c>
      <x:c r="G8" s="25" t="str">
        <x:v>0</x:v>
      </x:c>
      <x:c r="H8" s="25" t="str">
        <x:v>1509170</x:v>
      </x:c>
      <x:c r="I8" s="25" t="str">
        <x:v>1509170</x:v>
      </x:c>
      <x:c r="J8" s="25" t="str">
        <x:v>1660780</x:v>
      </x:c>
      <x:c r="K8" s="4" t="str">
        <x:v>9</x:v>
      </x:c>
      <x:c r="L8" s="4" t="str">
        <x:v>0</x:v>
      </x:c>
      <x:c r="M8" s="14" t="str">
        <x:v>abstract_algebra;group_theory;mathematics_general;module_theory;proof_register;ring_theory</x:v>
      </x:c>
      <x:c r="N8" s="4" t="str">
        <x:v>0</x:v>
      </x:c>
      <x:c r="O8" s="14" t="str">
        <x:v>substantive_body_present</x:v>
      </x:c>
      <x:c r="P8" s="4" t="str">
        <x:v>6</x:v>
      </x:c>
      <x:c r="Q8" s="4" t="str">
        <x:v>0</x:v>
      </x:c>
      <x:c r="R8" s="4" t="str">
        <x:v>pt</x:v>
      </x:c>
    </x:row>
    <x:row r="9" ht="28" customHeight="1">
      <x:c r="A9" s="4" t="str">
        <x:v>rm</x:v>
      </x:c>
      <x:c r="B9" s="25" t="str">
        <x:v>8</x:v>
      </x:c>
      <x:c r="C9" s="25" t="str">
        <x:v>8</x:v>
      </x:c>
      <x:c r="D9" s="4" t="str">
        <x:v>8</x:v>
      </x:c>
      <x:c r="E9" s="25" t="str">
        <x:v>8</x:v>
      </x:c>
      <x:c r="F9" s="4" t="str">
        <x:v>7</x:v>
      </x:c>
      <x:c r="G9" s="25" t="str">
        <x:v>1</x:v>
      </x:c>
      <x:c r="H9" s="25" t="str">
        <x:v>9848456</x:v>
      </x:c>
      <x:c r="I9" s="25" t="str">
        <x:v>9470920</x:v>
      </x:c>
      <x:c r="J9" s="25" t="str">
        <x:v>9848456</x:v>
      </x:c>
      <x:c r="K9" s="4" t="str">
        <x:v>0</x:v>
      </x:c>
      <x:c r="L9" s="4" t="str">
        <x:v>8</x:v>
      </x:c>
      <x:c r="M9" s="14" t="str">
        <x:v>coordinate_geometry',;fractions',;measurement',;proportional_reasoning',;solution_register;symmetry',;word_problems',;arithmetic',;arithmetic;exam_instructions;fractions;geometry;lexicography;mathematics_education;measurement;mental_arithmetic;number_line;school_math_terminology;solution_register;word_problems</x:v>
      </x:c>
      <x:c r="N9" s="4" t="str">
        <x:v>0</x:v>
      </x:c>
      <x:c r="O9" s="14" t="str">
        <x:v>substantive_body_present</x:v>
      </x:c>
      <x:c r="P9" s="4" t="str">
        <x:v>0</x:v>
      </x:c>
      <x:c r="Q9" s="4" t="str">
        <x:v>1</x:v>
      </x:c>
      <x:c r="R9" s="4" t="str">
        <x:v>rm-puter;rm-rg;rm-rg+rm-vallader+rm-sursilvan;rm-sursilvan;rm-vallader</x:v>
      </x:c>
    </x:row>
    <x:row r="10" ht="28" customHeight="1">
      <x:c r="A10" s="4" t="str">
        <x:v>ro</x:v>
      </x:c>
      <x:c r="B10" s="25" t="str">
        <x:v>6</x:v>
      </x:c>
      <x:c r="C10" s="25" t="str">
        <x:v>6</x:v>
      </x:c>
      <x:c r="D10" s="4" t="str">
        <x:v>6</x:v>
      </x:c>
      <x:c r="E10" s="25" t="str">
        <x:v>6</x:v>
      </x:c>
      <x:c r="F10" s="4" t="str">
        <x:v>6</x:v>
      </x:c>
      <x:c r="G10" s="25" t="str">
        <x:v>0</x:v>
      </x:c>
      <x:c r="H10" s="25" t="str">
        <x:v>1251878</x:v>
      </x:c>
      <x:c r="I10" s="25" t="str">
        <x:v>1251878</x:v>
      </x:c>
      <x:c r="J10" s="25" t="str">
        <x:v>1251878</x:v>
      </x:c>
      <x:c r="K10" s="4" t="str">
        <x:v>6</x:v>
      </x:c>
      <x:c r="L10" s="4" t="str">
        <x:v>0</x:v>
      </x:c>
      <x:c r="M10" s="14" t="str">
        <x:v>abstract_algebra;field_theory;group_theory;mathematics_general;proof_register;ring_theory</x:v>
      </x:c>
      <x:c r="N10" s="4" t="str">
        <x:v>0</x:v>
      </x:c>
      <x:c r="O10" s="14" t="str">
        <x:v>substantive_body_present</x:v>
      </x:c>
      <x:c r="P10" s="4" t="str">
        <x:v>4</x:v>
      </x:c>
      <x:c r="Q10" s="4" t="str">
        <x:v>0</x:v>
      </x:c>
      <x:c r="R10" s="4" t="str">
        <x:v>ro</x:v>
      </x:c>
    </x:row>
  </x:sheetData>
  <x:pageMargins left="0.7" right="0.7" top="0.75" bottom="0.75" header="0.3" footer="0.3"/>
  <x:tableParts count="1">
    <x:tablePart xmlns:r="http://schemas.openxmlformats.org/officeDocument/2006/relationships" r:id="Rd6310cbf89784b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3" hidden="0" customWidth="1"/>
    <x:col min="4" max="4" width="13" hidden="0" customWidth="1"/>
    <x:col min="5" max="5" width="16" hidden="0" customWidth="1"/>
    <x:col min="6" max="6" width="13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  <x:col min="13" max="13" width="16" hidden="0" customWidth="1"/>
    <x:col min="14" max="14" width="30" hidden="0" customWidth="1"/>
    <x:col min="15" max="15" width="14" hidden="0" customWidth="1"/>
    <x:col min="16" max="16" width="30" hidden="0" customWidth="1"/>
    <x:col min="17" max="17" width="16" hidden="0" customWidth="1"/>
    <x:col min="18" max="18" width="16" hidden="0" customWidth="1"/>
  </x:cols>
  <x:sheetData>
    <x:row r="1" ht="32" customHeight="1">
      <x:c r="A1" s="12" t="str">
        <x:v>language</x:v>
      </x:c>
      <x:c r="B1" s="12" t="str">
        <x:v>variety_code</x:v>
      </x:c>
      <x:c r="C1" s="24" t="str">
        <x:v>records</x:v>
      </x:c>
      <x:c r="D1" s="24" t="str">
        <x:v>primary_unique_records</x:v>
      </x:c>
      <x:c r="E1" s="12" t="str">
        <x:v>unique_logical_sources</x:v>
      </x:c>
      <x:c r="F1" s="24" t="str">
        <x:v>counting_eligible</x:v>
      </x:c>
      <x:c r="G1" s="12" t="str">
        <x:v>active_body_eligible</x:v>
      </x:c>
      <x:c r="H1" s="24" t="str">
        <x:v>official_lexical_reference_records</x:v>
      </x:c>
      <x:c r="I1" s="24" t="str">
        <x:v>bytes</x:v>
      </x:c>
      <x:c r="J1" s="24" t="str">
        <x:v>active_body_bytes</x:v>
      </x:c>
      <x:c r="K1" s="24" t="str">
        <x:v>all_primary_bytes</x:v>
      </x:c>
      <x:c r="L1" s="12" t="str">
        <x:v>declared_open_license_primary</x:v>
      </x:c>
      <x:c r="M1" s="12" t="str">
        <x:v>license_unresolved_primary</x:v>
      </x:c>
      <x:c r="N1" s="12" t="str">
        <x:v>domains</x:v>
      </x:c>
      <x:c r="O1" s="12" t="str">
        <x:v>term_promotion_eligible</x:v>
      </x:c>
      <x:c r="P1" s="12" t="str">
        <x:v>body_status</x:v>
      </x:c>
      <x:c r="Q1" s="12" t="str">
        <x:v>specialist_algebra_active_bodies</x:v>
      </x:c>
      <x:c r="R1" s="12" t="str">
        <x:v>translation_families</x:v>
      </x:c>
    </x:row>
    <x:row r="2" ht="28" customHeight="1">
      <x:c r="A2" s="4" t="str">
        <x:v>ca</x:v>
      </x:c>
      <x:c r="B2" s="4" t="str">
        <x:v>ca</x:v>
      </x:c>
      <x:c r="C2" s="25" t="str">
        <x:v>11</x:v>
      </x:c>
      <x:c r="D2" s="25" t="str">
        <x:v>10</x:v>
      </x:c>
      <x:c r="E2" s="4" t="str">
        <x:v>10</x:v>
      </x:c>
      <x:c r="F2" s="25" t="str">
        <x:v>6</x:v>
      </x:c>
      <x:c r="G2" s="4" t="str">
        <x:v>6</x:v>
      </x:c>
      <x:c r="H2" s="25" t="str">
        <x:v>0</x:v>
      </x:c>
      <x:c r="I2" s="25" t="str">
        <x:v>1102317</x:v>
      </x:c>
      <x:c r="J2" s="25" t="str">
        <x:v>1102317</x:v>
      </x:c>
      <x:c r="K2" s="25" t="str">
        <x:v>1228650</x:v>
      </x:c>
      <x:c r="L2" s="4" t="str">
        <x:v>10</x:v>
      </x:c>
      <x:c r="M2" s="4" t="str">
        <x:v>0</x:v>
      </x:c>
      <x:c r="N2" s="14" t="str">
        <x:v>abstract_algebra;group_theory;mathematics_general;module_theory;proof_register;ring_theory</x:v>
      </x:c>
      <x:c r="O2" s="4" t="str">
        <x:v>0</x:v>
      </x:c>
      <x:c r="P2" s="14" t="str">
        <x:v>substantive_body_present</x:v>
      </x:c>
      <x:c r="Q2" s="4" t="str">
        <x:v>4</x:v>
      </x:c>
      <x:c r="R2" s="4" t="str">
        <x:v>0</x:v>
      </x:c>
    </x:row>
    <x:row r="3" ht="28" customHeight="1">
      <x:c r="A3" s="4" t="str">
        <x:v>es</x:v>
      </x:c>
      <x:c r="B3" s="4" t="str">
        <x:v>es</x:v>
      </x:c>
      <x:c r="C3" s="25" t="str">
        <x:v>70</x:v>
      </x:c>
      <x:c r="D3" s="25" t="str">
        <x:v>66</x:v>
      </x:c>
      <x:c r="E3" s="4" t="str">
        <x:v>66</x:v>
      </x:c>
      <x:c r="F3" s="25" t="str">
        <x:v>9</x:v>
      </x:c>
      <x:c r="G3" s="4" t="str">
        <x:v>9</x:v>
      </x:c>
      <x:c r="H3" s="25" t="str">
        <x:v>0</x:v>
      </x:c>
      <x:c r="I3" s="25" t="str">
        <x:v>895422</x:v>
      </x:c>
      <x:c r="J3" s="25" t="str">
        <x:v>895422</x:v>
      </x:c>
      <x:c r="K3" s="25" t="str">
        <x:v>3019093</x:v>
      </x:c>
      <x:c r="L3" s="4" t="str">
        <x:v>12</x:v>
      </x:c>
      <x:c r="M3" s="4" t="str">
        <x:v>53</x:v>
      </x:c>
      <x:c r="N3" s="14" t="str">
        <x:v>abstract_algebra;field_theory;group_theory;mathematics_general;mathematics_mixed;module_theory;proof_register;ring_theory</x:v>
      </x:c>
      <x:c r="O3" s="4" t="str">
        <x:v>0</x:v>
      </x:c>
      <x:c r="P3" s="14" t="str">
        <x:v>substantive_body_present</x:v>
      </x:c>
      <x:c r="Q3" s="4" t="str">
        <x:v>6</x:v>
      </x:c>
      <x:c r="R3" s="4" t="str">
        <x:v>0</x:v>
      </x:c>
    </x:row>
    <x:row r="4" ht="28" customHeight="1">
      <x:c r="A4" s="4" t="str">
        <x:v>fr</x:v>
      </x:c>
      <x:c r="B4" s="4" t="str">
        <x:v>fr</x:v>
      </x:c>
      <x:c r="C4" s="25" t="str">
        <x:v>30</x:v>
      </x:c>
      <x:c r="D4" s="25" t="str">
        <x:v>30</x:v>
      </x:c>
      <x:c r="E4" s="4" t="str">
        <x:v>30</x:v>
      </x:c>
      <x:c r="F4" s="25" t="str">
        <x:v>21</x:v>
      </x:c>
      <x:c r="G4" s="4" t="str">
        <x:v>21</x:v>
      </x:c>
      <x:c r="H4" s="25" t="str">
        <x:v>0</x:v>
      </x:c>
      <x:c r="I4" s="25" t="str">
        <x:v>1692746</x:v>
      </x:c>
      <x:c r="J4" s="25" t="str">
        <x:v>1692746</x:v>
      </x:c>
      <x:c r="K4" s="25" t="str">
        <x:v>2009122</x:v>
      </x:c>
      <x:c r="L4" s="4" t="str">
        <x:v>14</x:v>
      </x:c>
      <x:c r="M4" s="4" t="str">
        <x:v>15</x:v>
      </x:c>
      <x:c r="N4" s="14" t="str">
        <x:v>abstract_algebra;field_theory;group_theory;mathematics_general;mathematics_mixed;module_theory;proof_register;ring_theory</x:v>
      </x:c>
      <x:c r="O4" s="4" t="str">
        <x:v>0</x:v>
      </x:c>
      <x:c r="P4" s="14" t="str">
        <x:v>substantive_body_present</x:v>
      </x:c>
      <x:c r="Q4" s="4" t="str">
        <x:v>5</x:v>
      </x:c>
      <x:c r="R4" s="4" t="str">
        <x:v>0</x:v>
      </x:c>
    </x:row>
    <x:row r="5" ht="28" customHeight="1">
      <x:c r="A5" s="4" t="str">
        <x:v>fr_es</x:v>
      </x:c>
      <x:c r="B5" s="4" t="str">
        <x:v>fr-es-generated</x:v>
      </x:c>
      <x:c r="C5" s="25" t="str">
        <x:v>4</x:v>
      </x:c>
      <x:c r="D5" s="25" t="str">
        <x:v>4</x:v>
      </x:c>
      <x:c r="E5" s="4" t="str">
        <x:v>4</x:v>
      </x:c>
      <x:c r="F5" s="25" t="str">
        <x:v>0</x:v>
      </x:c>
      <x:c r="G5" s="4" t="str">
        <x:v>0</x:v>
      </x:c>
      <x:c r="H5" s="25" t="str">
        <x:v>0</x:v>
      </x:c>
      <x:c r="I5" s="25" t="str">
        <x:v>0</x:v>
      </x:c>
      <x:c r="J5" s="25" t="str">
        <x:v>0</x:v>
      </x:c>
      <x:c r="K5" s="25" t="str">
        <x:v>118757</x:v>
      </x:c>
      <x:c r="L5" s="4" t="str">
        <x:v>0</x:v>
      </x:c>
      <x:c r="M5" s="4" t="str">
        <x:v>0</x:v>
      </x:c>
      <x:c r="N5" s="14" t="str"/>
      <x:c r="O5" s="4" t="str">
        <x:v>0</x:v>
      </x:c>
      <x:c r="P5" s="14" t="str">
        <x:v>auxiliary_or_generated_only</x:v>
      </x:c>
      <x:c r="Q5" s="4" t="str">
        <x:v>0</x:v>
      </x:c>
      <x:c r="R5" s="4" t="str">
        <x:v>0</x:v>
      </x:c>
    </x:row>
    <x:row r="6" ht="28" customHeight="1">
      <x:c r="A6" s="4" t="str">
        <x:v>gl</x:v>
      </x:c>
      <x:c r="B6" s="4" t="str">
        <x:v>gl</x:v>
      </x:c>
      <x:c r="C6" s="25" t="str">
        <x:v>6</x:v>
      </x:c>
      <x:c r="D6" s="25" t="str">
        <x:v>6</x:v>
      </x:c>
      <x:c r="E6" s="4" t="str">
        <x:v>6</x:v>
      </x:c>
      <x:c r="F6" s="25" t="str">
        <x:v>6</x:v>
      </x:c>
      <x:c r="G6" s="4" t="str">
        <x:v>6</x:v>
      </x:c>
      <x:c r="H6" s="25" t="str">
        <x:v>0</x:v>
      </x:c>
      <x:c r="I6" s="25" t="str">
        <x:v>1261078</x:v>
      </x:c>
      <x:c r="J6" s="25" t="str">
        <x:v>1261078</x:v>
      </x:c>
      <x:c r="K6" s="25" t="str">
        <x:v>1261078</x:v>
      </x:c>
      <x:c r="L6" s="4" t="str">
        <x:v>6</x:v>
      </x:c>
      <x:c r="M6" s="4" t="str">
        <x:v>0</x:v>
      </x:c>
      <x:c r="N6" s="14" t="str">
        <x:v>abstract_algebra;field_theory;group_theory;mathematics_general;module_theory;proof_register;ring_theory</x:v>
      </x:c>
      <x:c r="O6" s="4" t="str">
        <x:v>0</x:v>
      </x:c>
      <x:c r="P6" s="14" t="str">
        <x:v>substantive_body_present</x:v>
      </x:c>
      <x:c r="Q6" s="4" t="str">
        <x:v>5</x:v>
      </x:c>
      <x:c r="R6" s="4" t="str">
        <x:v>0</x:v>
      </x:c>
    </x:row>
    <x:row r="7" ht="28" customHeight="1">
      <x:c r="A7" s="4" t="str">
        <x:v>it</x:v>
      </x:c>
      <x:c r="B7" s="4" t="str">
        <x:v>it</x:v>
      </x:c>
      <x:c r="C7" s="25" t="str">
        <x:v>8</x:v>
      </x:c>
      <x:c r="D7" s="25" t="str">
        <x:v>8</x:v>
      </x:c>
      <x:c r="E7" s="4" t="str">
        <x:v>8</x:v>
      </x:c>
      <x:c r="F7" s="25" t="str">
        <x:v>8</x:v>
      </x:c>
      <x:c r="G7" s="4" t="str">
        <x:v>8</x:v>
      </x:c>
      <x:c r="H7" s="25" t="str">
        <x:v>0</x:v>
      </x:c>
      <x:c r="I7" s="25" t="str">
        <x:v>1641920</x:v>
      </x:c>
      <x:c r="J7" s="25" t="str">
        <x:v>1641920</x:v>
      </x:c>
      <x:c r="K7" s="25" t="str">
        <x:v>1641920</x:v>
      </x:c>
      <x:c r="L7" s="4" t="str">
        <x:v>6</x:v>
      </x:c>
      <x:c r="M7" s="4" t="str">
        <x:v>2</x:v>
      </x:c>
      <x:c r="N7" s="14" t="str">
        <x:v>abstract_algebra;analysis;field_theory;group_theory;mathematics_general;module_theory;proof_register;ring_theory</x:v>
      </x:c>
      <x:c r="O7" s="4" t="str">
        <x:v>0</x:v>
      </x:c>
      <x:c r="P7" s="14" t="str">
        <x:v>substantive_body_present</x:v>
      </x:c>
      <x:c r="Q7" s="4" t="str">
        <x:v>6</x:v>
      </x:c>
      <x:c r="R7" s="4" t="str">
        <x:v>0</x:v>
      </x:c>
    </x:row>
    <x:row r="8" ht="28" customHeight="1">
      <x:c r="A8" s="4" t="str">
        <x:v>pt</x:v>
      </x:c>
      <x:c r="B8" s="4" t="str">
        <x:v>pt</x:v>
      </x:c>
      <x:c r="C8" s="25" t="str">
        <x:v>10</x:v>
      </x:c>
      <x:c r="D8" s="25" t="str">
        <x:v>9</x:v>
      </x:c>
      <x:c r="E8" s="4" t="str">
        <x:v>9</x:v>
      </x:c>
      <x:c r="F8" s="25" t="str">
        <x:v>7</x:v>
      </x:c>
      <x:c r="G8" s="4" t="str">
        <x:v>7</x:v>
      </x:c>
      <x:c r="H8" s="25" t="str">
        <x:v>0</x:v>
      </x:c>
      <x:c r="I8" s="25" t="str">
        <x:v>1509170</x:v>
      </x:c>
      <x:c r="J8" s="25" t="str">
        <x:v>1509170</x:v>
      </x:c>
      <x:c r="K8" s="25" t="str">
        <x:v>1660780</x:v>
      </x:c>
      <x:c r="L8" s="4" t="str">
        <x:v>9</x:v>
      </x:c>
      <x:c r="M8" s="4" t="str">
        <x:v>0</x:v>
      </x:c>
      <x:c r="N8" s="14" t="str">
        <x:v>abstract_algebra;group_theory;mathematics_general;module_theory;proof_register;ring_theory</x:v>
      </x:c>
      <x:c r="O8" s="4" t="str">
        <x:v>0</x:v>
      </x:c>
      <x:c r="P8" s="14" t="str">
        <x:v>substantive_body_present</x:v>
      </x:c>
      <x:c r="Q8" s="4" t="str">
        <x:v>6</x:v>
      </x:c>
      <x:c r="R8" s="4" t="str">
        <x:v>0</x:v>
      </x:c>
    </x:row>
    <x:row r="9" ht="28" customHeight="1">
      <x:c r="A9" s="4" t="str">
        <x:v>rm</x:v>
      </x:c>
      <x:c r="B9" s="4" t="str">
        <x:v>rm-puter</x:v>
      </x:c>
      <x:c r="C9" s="25" t="str">
        <x:v>1</x:v>
      </x:c>
      <x:c r="D9" s="25" t="str">
        <x:v>1</x:v>
      </x:c>
      <x:c r="E9" s="4" t="str">
        <x:v>1</x:v>
      </x:c>
      <x:c r="F9" s="25" t="str">
        <x:v>1</x:v>
      </x:c>
      <x:c r="G9" s="4" t="str">
        <x:v>1</x:v>
      </x:c>
      <x:c r="H9" s="25" t="str">
        <x:v>0</x:v>
      </x:c>
      <x:c r="I9" s="25" t="str">
        <x:v>1699194</x:v>
      </x:c>
      <x:c r="J9" s="25" t="str">
        <x:v>1699194</x:v>
      </x:c>
      <x:c r="K9" s="25" t="str">
        <x:v>1699194</x:v>
      </x:c>
      <x:c r="L9" s="4" t="str">
        <x:v>0</x:v>
      </x:c>
      <x:c r="M9" s="4" t="str">
        <x:v>1</x:v>
      </x:c>
      <x:c r="N9" s="14" t="str">
        <x:v>coordinate_geometry',;fractions',;measurement',;proportional_reasoning',;solution_register;symmetry',;word_problems',;arithmetic',</x:v>
      </x:c>
      <x:c r="O9" s="4" t="str">
        <x:v>0</x:v>
      </x:c>
      <x:c r="P9" s="14" t="str">
        <x:v>substantive_body_present</x:v>
      </x:c>
      <x:c r="Q9" s="4" t="str">
        <x:v>0</x:v>
      </x:c>
      <x:c r="R9" s="4" t="str">
        <x:v>1</x:v>
      </x:c>
    </x:row>
    <x:row r="10" ht="28" customHeight="1">
      <x:c r="A10" s="4" t="str">
        <x:v>rm</x:v>
      </x:c>
      <x:c r="B10" s="4" t="str">
        <x:v>rm-rg</x:v>
      </x:c>
      <x:c r="C10" s="25" t="str">
        <x:v>4</x:v>
      </x:c>
      <x:c r="D10" s="25" t="str">
        <x:v>4</x:v>
      </x:c>
      <x:c r="E10" s="4" t="str">
        <x:v>4</x:v>
      </x:c>
      <x:c r="F10" s="25" t="str">
        <x:v>4</x:v>
      </x:c>
      <x:c r="G10" s="4" t="str">
        <x:v>4</x:v>
      </x:c>
      <x:c r="H10" s="25" t="str">
        <x:v>0</x:v>
      </x:c>
      <x:c r="I10" s="25" t="str">
        <x:v>4470831</x:v>
      </x:c>
      <x:c r="J10" s="25" t="str">
        <x:v>4470831</x:v>
      </x:c>
      <x:c r="K10" s="25" t="str">
        <x:v>4470831</x:v>
      </x:c>
      <x:c r="L10" s="4" t="str">
        <x:v>0</x:v>
      </x:c>
      <x:c r="M10" s="4" t="str">
        <x:v>4</x:v>
      </x:c>
      <x:c r="N10" s="14" t="str">
        <x:v>coordinate_geometry',;fractions',;measurement',;proportional_reasoning',;solution_register;symmetry',;word_problems',;arithmetic',;arithmetic;exam_instructions;fractions;geometry;measurement;mental_arithmetic;number_line;solution_register;word_problems</x:v>
      </x:c>
      <x:c r="O10" s="4" t="str">
        <x:v>0</x:v>
      </x:c>
      <x:c r="P10" s="14" t="str">
        <x:v>substantive_body_present</x:v>
      </x:c>
      <x:c r="Q10" s="4" t="str">
        <x:v>0</x:v>
      </x:c>
      <x:c r="R10" s="4" t="str">
        <x:v>1</x:v>
      </x:c>
    </x:row>
    <x:row r="11" ht="28" customHeight="1">
      <x:c r="A11" s="4" t="str">
        <x:v>rm</x:v>
      </x:c>
      <x:c r="B11" s="4" t="str">
        <x:v>rm-rg+rm-vallader+rm-sursilvan</x:v>
      </x:c>
      <x:c r="C11" s="25" t="str">
        <x:v>1</x:v>
      </x:c>
      <x:c r="D11" s="25" t="str">
        <x:v>1</x:v>
      </x:c>
      <x:c r="E11" s="4" t="str">
        <x:v>1</x:v>
      </x:c>
      <x:c r="F11" s="25" t="str">
        <x:v>1</x:v>
      </x:c>
      <x:c r="G11" s="4" t="str">
        <x:v>0</x:v>
      </x:c>
      <x:c r="H11" s="25" t="str">
        <x:v>1</x:v>
      </x:c>
      <x:c r="I11" s="25" t="str">
        <x:v>377536</x:v>
      </x:c>
      <x:c r="J11" s="25" t="str">
        <x:v>0</x:v>
      </x:c>
      <x:c r="K11" s="25" t="str">
        <x:v>377536</x:v>
      </x:c>
      <x:c r="L11" s="4" t="str">
        <x:v>0</x:v>
      </x:c>
      <x:c r="M11" s="4" t="str">
        <x:v>1</x:v>
      </x:c>
      <x:c r="N11" s="14" t="str">
        <x:v>lexicography;mathematics_education;school_math_terminology</x:v>
      </x:c>
      <x:c r="O11" s="4" t="str">
        <x:v>0</x:v>
      </x:c>
      <x:c r="P11" s="14" t="str">
        <x:v>reference_corpus_only_explicit_zero_body_gap</x:v>
      </x:c>
      <x:c r="Q11" s="4" t="str">
        <x:v>0</x:v>
      </x:c>
      <x:c r="R11" s="4" t="str">
        <x:v>0</x:v>
      </x:c>
    </x:row>
    <x:row r="12" ht="28" customHeight="1">
      <x:c r="A12" s="4" t="str">
        <x:v>rm</x:v>
      </x:c>
      <x:c r="B12" s="4" t="str">
        <x:v>rm-sursilvan</x:v>
      </x:c>
      <x:c r="C12" s="25" t="str">
        <x:v>1</x:v>
      </x:c>
      <x:c r="D12" s="25" t="str">
        <x:v>1</x:v>
      </x:c>
      <x:c r="E12" s="4" t="str">
        <x:v>1</x:v>
      </x:c>
      <x:c r="F12" s="25" t="str">
        <x:v>1</x:v>
      </x:c>
      <x:c r="G12" s="4" t="str">
        <x:v>1</x:v>
      </x:c>
      <x:c r="H12" s="25" t="str">
        <x:v>0</x:v>
      </x:c>
      <x:c r="I12" s="25" t="str">
        <x:v>1621152</x:v>
      </x:c>
      <x:c r="J12" s="25" t="str">
        <x:v>1621152</x:v>
      </x:c>
      <x:c r="K12" s="25" t="str">
        <x:v>1621152</x:v>
      </x:c>
      <x:c r="L12" s="4" t="str">
        <x:v>0</x:v>
      </x:c>
      <x:c r="M12" s="4" t="str">
        <x:v>1</x:v>
      </x:c>
      <x:c r="N12" s="14" t="str">
        <x:v>coordinate_geometry',;fractions',;measurement',;proportional_reasoning',;solution_register;symmetry',;word_problems',;arithmetic',</x:v>
      </x:c>
      <x:c r="O12" s="4" t="str">
        <x:v>0</x:v>
      </x:c>
      <x:c r="P12" s="14" t="str">
        <x:v>substantive_body_present</x:v>
      </x:c>
      <x:c r="Q12" s="4" t="str">
        <x:v>0</x:v>
      </x:c>
      <x:c r="R12" s="4" t="str">
        <x:v>1</x:v>
      </x:c>
    </x:row>
    <x:row r="13" ht="28" customHeight="1">
      <x:c r="A13" s="4" t="str">
        <x:v>rm</x:v>
      </x:c>
      <x:c r="B13" s="4" t="str">
        <x:v>rm-vallader</x:v>
      </x:c>
      <x:c r="C13" s="25" t="str">
        <x:v>1</x:v>
      </x:c>
      <x:c r="D13" s="25" t="str">
        <x:v>1</x:v>
      </x:c>
      <x:c r="E13" s="4" t="str">
        <x:v>1</x:v>
      </x:c>
      <x:c r="F13" s="25" t="str">
        <x:v>1</x:v>
      </x:c>
      <x:c r="G13" s="4" t="str">
        <x:v>1</x:v>
      </x:c>
      <x:c r="H13" s="25" t="str">
        <x:v>0</x:v>
      </x:c>
      <x:c r="I13" s="25" t="str">
        <x:v>1679743</x:v>
      </x:c>
      <x:c r="J13" s="25" t="str">
        <x:v>1679743</x:v>
      </x:c>
      <x:c r="K13" s="25" t="str">
        <x:v>1679743</x:v>
      </x:c>
      <x:c r="L13" s="4" t="str">
        <x:v>0</x:v>
      </x:c>
      <x:c r="M13" s="4" t="str">
        <x:v>1</x:v>
      </x:c>
      <x:c r="N13" s="14" t="str">
        <x:v>coordinate_geometry',;fractions',;measurement',;proportional_reasoning',;solution_register;symmetry',;word_problems',;arithmetic',</x:v>
      </x:c>
      <x:c r="O13" s="4" t="str">
        <x:v>0</x:v>
      </x:c>
      <x:c r="P13" s="14" t="str">
        <x:v>substantive_body_present</x:v>
      </x:c>
      <x:c r="Q13" s="4" t="str">
        <x:v>0</x:v>
      </x:c>
      <x:c r="R13" s="4" t="str">
        <x:v>1</x:v>
      </x:c>
    </x:row>
    <x:row r="14" ht="28" customHeight="1">
      <x:c r="A14" s="4" t="str">
        <x:v>ro</x:v>
      </x:c>
      <x:c r="B14" s="4" t="str">
        <x:v>ro</x:v>
      </x:c>
      <x:c r="C14" s="25" t="str">
        <x:v>6</x:v>
      </x:c>
      <x:c r="D14" s="25" t="str">
        <x:v>6</x:v>
      </x:c>
      <x:c r="E14" s="4" t="str">
        <x:v>6</x:v>
      </x:c>
      <x:c r="F14" s="25" t="str">
        <x:v>6</x:v>
      </x:c>
      <x:c r="G14" s="4" t="str">
        <x:v>6</x:v>
      </x:c>
      <x:c r="H14" s="25" t="str">
        <x:v>0</x:v>
      </x:c>
      <x:c r="I14" s="25" t="str">
        <x:v>1251878</x:v>
      </x:c>
      <x:c r="J14" s="25" t="str">
        <x:v>1251878</x:v>
      </x:c>
      <x:c r="K14" s="25" t="str">
        <x:v>1251878</x:v>
      </x:c>
      <x:c r="L14" s="4" t="str">
        <x:v>6</x:v>
      </x:c>
      <x:c r="M14" s="4" t="str">
        <x:v>0</x:v>
      </x:c>
      <x:c r="N14" s="14" t="str">
        <x:v>abstract_algebra;field_theory;group_theory;mathematics_general;proof_register;ring_theory</x:v>
      </x:c>
      <x:c r="O14" s="4" t="str">
        <x:v>0</x:v>
      </x:c>
      <x:c r="P14" s="14" t="str">
        <x:v>substantive_body_present</x:v>
      </x:c>
      <x:c r="Q14" s="4" t="str">
        <x:v>4</x:v>
      </x:c>
      <x:c r="R14" s="4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d610bc595b40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28" hidden="0" customWidth="1"/>
    <x:col min="4" max="4" width="58" hidden="0" customWidth="1"/>
  </x:cols>
  <x:sheetData>
    <x:row r="1" ht="32" customHeight="1">
      <x:c r="A1" s="12" t="str">
        <x:v>source</x:v>
      </x:c>
      <x:c r="B1" s="12" t="str">
        <x:v>public_locator</x:v>
      </x:c>
      <x:c r="C1" s="12" t="str">
        <x:v>locator_visibility</x:v>
      </x:c>
      <x:c r="D1" s="12" t="str">
        <x:v>reason</x:v>
      </x:c>
    </x:row>
    <x:row r="2" ht="54" customHeight="1">
      <x:c r="A2" s="4" t="str">
        <x:v>wikimedia_html_automatic_search</x:v>
      </x:c>
      <x:c r="B2" s="14" t="str">
        <x:v>https://rm.wikipedia.org/w/index.php?curid=12989&amp;oldid=160482</x:v>
      </x:c>
      <x:c r="C2" s="14" t="str">
        <x:v>public_http_locator_preserved</x:v>
      </x:c>
      <x:c r="D2" s="14" t="str">
        <x:v>nonmathematical_automatic_search_result:rm:Biologia:corp matematica</x:v>
      </x:c>
    </x:row>
    <x:row r="3" ht="54" customHeight="1">
      <x:c r="A3" s="4" t="str">
        <x:v>wikimedia_html_automatic_search</x:v>
      </x:c>
      <x:c r="B3" s="14" t="str">
        <x:v>https://rm.wikipedia.org/w/index.php?curid=10695&amp;oldid=167422</x:v>
      </x:c>
      <x:c r="C3" s="14" t="str">
        <x:v>public_http_locator_preserved</x:v>
      </x:c>
      <x:c r="D3" s="14" t="str">
        <x:v>nonmathematical_automatic_search_result:rm:Tirchia:demonstraziun matematica</x:v>
      </x:c>
    </x:row>
    <x:row r="4" ht="54" customHeight="1">
      <x:c r="A4" s="4" t="str">
        <x:v>wikimedia_html_automatic_search</x:v>
      </x:c>
      <x:c r="B4" s="14" t="str">
        <x:v>https://rm.wikipedia.org/w/index.php?curid=12989&amp;oldid=160482</x:v>
      </x:c>
      <x:c r="C4" s="14" t="str">
        <x:v>public_http_locator_preserved</x:v>
      </x:c>
      <x:c r="D4" s="14" t="str">
        <x:v>nonmathematical_automatic_search_result:rm:Biologia:gruppa matematica</x:v>
      </x:c>
    </x:row>
    <x:row r="5" ht="54" customHeight="1">
      <x:c r="A5" s="4" t="str">
        <x:v>wikimedia_html_automatic_search</x:v>
      </x:c>
      <x:c r="B5" s="14" t="str">
        <x:v>https://rm.wikipedia.org/w/index.php?curid=13415&amp;oldid=172712</x:v>
      </x:c>
      <x:c r="C5" s="14" t="str">
        <x:v>public_http_locator_preserved</x:v>
      </x:c>
      <x:c r="D5" s="14" t="str">
        <x:v>nonmathematical_automatic_search_result:rm:Republica Populara da la China:modul matematica</x:v>
      </x:c>
    </x:row>
    <x:row r="6" ht="54" customHeight="1">
      <x:c r="A6" s="4" t="str">
        <x:v>transfer</x:v>
      </x:c>
      <x:c r="B6" s="14" t="str"/>
      <x:c r="C6" s="14" t="str">
        <x:v>local_or_non_http_locator_omitted</x:v>
      </x:c>
      <x:c r="D6" s="14" t="str">
        <x:v>file_missing</x:v>
      </x:c>
    </x:row>
    <x:row r="7" ht="54" customHeight="1">
      <x:c r="A7" s="4" t="str">
        <x:v>romansh_branch_acquisition_20260718</x:v>
      </x:c>
      <x:c r="B7" s="14" t="str">
        <x:v>https://www.gr.ch/RM/instituziuns/administraziun/ekud/ahb/mittelschulen/servetschs/altepruefungen/einheitspruefung/Seiten/info.aspx</x:v>
      </x:c>
      <x:c r="C7" s="14" t="str">
        <x:v>public_http_locator_preserved</x:v>
      </x:c>
      <x:c r="D7" s="14" t="str">
        <x:v>rejected_nonbody_adverse_evidence:GRCH-RM-ADVANCED-EXAM-INFO:Official policy/information page, not a mathematics running body. It explicitly states that no Romansh question papers exist for arithmetic and algebra or geometry in the advanced unified examination.</x:v>
      </x:c>
    </x:row>
    <x:row r="8" ht="54" customHeight="1">
      <x:c r="A8" s="4" t="str">
        <x:v>romansh_branch_acquisition_20260718</x:v>
      </x:c>
      <x:c r="B8" s="14" t="str">
        <x:v>https://www.gr.ch/DE/institutionen/verwaltung/ekud/ahb/mittelschulen/dienstleistungen/aufnahmepruefungen/pruefung1g/pruefungsbeispiele1gym/Seiten/1G_2025.aspx</x:v>
      </x:c>
      <x:c r="C8" s="14" t="str">
        <x:v>public_http_locator_preserved</x:v>
      </x:c>
      <x:c r="D8" s="14" t="str">
        <x:v>rejected_nonbody_listing_evidence:GRCH-AP25-1G-LISTING:Official download listing, not a body. The 2025 mathematics list exposes Putèr, Rumantsch Grischun, Sursilvan, and Vallader PDFs, but no Surmiran or Sutsilvan mathematics PDF; this is year-specific evidence only.</x:v>
      </x:c>
    </x:row>
    <x:row r="9" ht="54" customHeight="1">
      <x:c r="A9" s="4" t="str">
        <x:v>romansh_branch_acquisition_20260718</x:v>
      </x:c>
      <x:c r="B9" s="14" t="str">
        <x:v>https://portacultura.gr.ch/api/records/KBG-990000715370206696_113082/export/</x:v>
      </x:c>
      <x:c r="C9" s="14" t="str">
        <x:v>public_http_locator_preserved</x:v>
      </x:c>
      <x:c r="D9" s="14" t="str">
        <x:v>rejected_catalog_metadata_only:PORTACULTURA-SURMIRAN-MATH-GLOSSARY-METADATA:One-page Porta Cultura metadata export describing a 30-page Surmiran mathematics glossary; the glossary itself is not contained in the downloaded bytes.</x:v>
      </x:c>
    </x:row>
    <x:row r="10" ht="54" customHeight="1">
      <x:c r="A10" s="4" t="str">
        <x:v>romansh_branch_acquisition_20260718</x:v>
      </x:c>
      <x:c r="B10" s="14" t="str">
        <x:v>https://portacultura.gr.ch/api/records/KBG-997958117506696_34833/export/</x:v>
      </x:c>
      <x:c r="C10" s="14" t="str">
        <x:v>public_http_locator_preserved</x:v>
      </x:c>
      <x:c r="D10" s="14" t="str">
        <x:v>rejected_catalog_metadata_only:PORTACULTURA-SUTSILVAN-MATEMATICA3-METADATA:One-page Porta Cultura metadata export describing a six-part Sutsilvan primary mathematics set; the textbook/workbooks are not contained in the downloaded bytes.</x:v>
      </x:c>
    </x:row>
  </x:sheetData>
  <x:pageMargins left="0.7" right="0.7" top="0.75" bottom="0.75" header="0.3" footer="0.3"/>
  <x:tableParts count="1">
    <x:tablePart xmlns:r="http://schemas.openxmlformats.org/officeDocument/2006/relationships" r:id="R03b53f77c1234d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34" t="str">
        <x:v>Romance corpus metadata checkpoint v1</x:v>
      </x:c>
      <x:c r="B1" s="34"/>
      <x:c r="C1" s="34"/>
      <x:c r="D1" s="34"/>
      <x:c r="E1" s="34"/>
      <x:c r="F1" s="34"/>
      <x:c r="G1" s="34"/>
      <x:c r="H1" s="34"/>
    </x:row>
    <x:row r="2" ht="30" customHeight="1">
      <x:c r="A2" s="34"/>
      <x:c r="B2" s="34"/>
      <x:c r="C2" s="34"/>
      <x:c r="D2" s="34"/>
      <x:c r="E2" s="34"/>
      <x:c r="F2" s="34"/>
      <x:c r="G2" s="34"/>
      <x:c r="H2" s="34"/>
    </x:row>
    <x:row r="3" ht="24" customHeight="1">
      <x:c r="A3" s="258" t="str">
        <x:v>Publication-safe metadata projection · corpus v5 · branch routes v4 · 2026-07-18</x:v>
      </x:c>
      <x:c r="B3" s="258"/>
      <x:c r="C3" s="258"/>
      <x:c r="D3" s="258"/>
      <x:c r="E3" s="258"/>
      <x:c r="F3" s="258"/>
      <x:c r="G3" s="258"/>
      <x:c r="H3" s="258"/>
    </x:row>
    <x:row r="4">
      <x:c r="A4" s="200"/>
      <x:c r="B4" s="200"/>
      <x:c r="C4" s="200"/>
      <x:c r="D4" s="200"/>
      <x:c r="E4" s="200"/>
      <x:c r="F4" s="200"/>
      <x:c r="G4" s="200"/>
      <x:c r="H4" s="200"/>
    </x:row>
    <x:row r="5">
      <x:c r="A5" s="260" t="str">
        <x:v>Coverage metric</x:v>
      </x:c>
      <x:c r="B5" s="261" t="str">
        <x:v>Recomputed value</x:v>
      </x:c>
      <x:c r="C5" s="200"/>
      <x:c r="D5" s="264" t="str">
        <x:v>Rights and evidence boundary</x:v>
      </x:c>
      <x:c r="E5" s="264"/>
      <x:c r="F5" s="264"/>
      <x:c r="G5" s="264"/>
      <x:c r="H5" s="264"/>
    </x:row>
    <x:row r="6" ht="26" customHeight="1">
      <x:c r="A6" s="204" t="str">
        <x:v>Corpus records</x:v>
      </x:c>
      <x:c r="B6" s="205" t="n">
        <x:f>COUNTA('Corpus'!$A$2:$A$154)</x:f>
        <x:v>153</x:v>
      </x:c>
      <x:c r="C6" s="200"/>
      <x:c r="D6" s="206" t="str">
        <x:v>Metadata only. Source PDFs, extracted text, quotations, and quotation-bearing workbooks are excluded. A public URL is not a reuse grant; rights-unresolved bodies remain outside this payload.</x:v>
      </x:c>
      <x:c r="E6" s="207"/>
      <x:c r="F6" s="207"/>
      <x:c r="G6" s="207"/>
      <x:c r="H6" s="208"/>
    </x:row>
    <x:row r="7" ht="26" customHeight="1">
      <x:c r="A7" s="204" t="str">
        <x:v>Primary unique</x:v>
      </x:c>
      <x:c r="B7" s="205" t="n">
        <x:f>COUNTIF('Corpus'!$AG$2:$AG$154,"primary_unique")</x:f>
        <x:v>147</x:v>
      </x:c>
      <x:c r="C7" s="200"/>
      <x:c r="D7" s="209"/>
      <x:c r="E7" s="210"/>
      <x:c r="F7" s="210"/>
      <x:c r="G7" s="210"/>
      <x:c r="H7" s="211"/>
    </x:row>
    <x:row r="8" ht="26" customHeight="1">
      <x:c r="A8" s="204" t="str">
        <x:v>Representation aliases</x:v>
      </x:c>
      <x:c r="B8" s="205" t="n">
        <x:f>COUNTA('Corpus'!$A$2:$A$154)-COUNTIF('Corpus'!$AG$2:$AG$154,"primary_unique")</x:f>
        <x:v>6</x:v>
      </x:c>
      <x:c r="C8" s="200"/>
      <x:c r="D8" s="209"/>
      <x:c r="E8" s="210"/>
      <x:c r="F8" s="210"/>
      <x:c r="G8" s="210"/>
      <x:c r="H8" s="211"/>
    </x:row>
    <x:row r="9" ht="26" customHeight="1">
      <x:c r="A9" s="204" t="str">
        <x:v>Counting eligible</x:v>
      </x:c>
      <x:c r="B9" s="205" t="n">
        <x:f>COUNTIF('Corpus'!$AH$2:$AH$154,"true")</x:f>
        <x:v>71</x:v>
      </x:c>
      <x:c r="C9" s="200"/>
      <x:c r="D9" s="212"/>
      <x:c r="E9" s="213"/>
      <x:c r="F9" s="213"/>
      <x:c r="G9" s="213"/>
      <x:c r="H9" s="214"/>
    </x:row>
    <x:row r="10">
      <x:c r="A10" s="204" t="str">
        <x:v>Active bodies</x:v>
      </x:c>
      <x:c r="B10" s="205" t="n">
        <x:f>COUNTIF('Corpus'!$AK$2:$AK$154,"true")</x:f>
        <x:v>70</x:v>
      </x:c>
      <x:c r="C10" s="200"/>
      <x:c r="D10" s="200"/>
      <x:c r="E10" s="200"/>
      <x:c r="F10" s="200"/>
      <x:c r="G10" s="200"/>
      <x:c r="H10" s="200"/>
    </x:row>
    <x:row r="11">
      <x:c r="A11" s="204" t="str">
        <x:v>Explicit branch routes</x:v>
      </x:c>
      <x:c r="B11" s="205" t="n">
        <x:f>COUNTA('Routes'!$A$2:$A$62)</x:f>
        <x:v>61</x:v>
      </x:c>
      <x:c r="C11" s="200"/>
      <x:c r="D11" s="266" t="str">
        <x:v>Open coverage gaps</x:v>
      </x:c>
      <x:c r="E11" s="266"/>
      <x:c r="F11" s="266"/>
      <x:c r="G11" s="266"/>
      <x:c r="H11" s="266"/>
    </x:row>
    <x:row r="12" ht="26" customHeight="1">
      <x:c r="A12" s="204" t="str">
        <x:v>Active routes</x:v>
      </x:c>
      <x:c r="B12" s="205" t="n">
        <x:f>COUNTIF('Routes'!$P$2:$P$62,"&gt;0")</x:f>
        <x:v>11</x:v>
      </x:c>
      <x:c r="C12" s="200"/>
      <x:c r="D12" s="216" t="str">
        <x:v>Romansh has seven active general-school bodies but zero specialist-algebra bodies. Surmiran and Sutsilvan remain explicit zero-body routes. Fifty of 61 named branch routes remain zero-body. No dominant standard is used as a proxy.</x:v>
      </x:c>
      <x:c r="E12" s="217"/>
      <x:c r="F12" s="217"/>
      <x:c r="G12" s="217"/>
      <x:c r="H12" s="218"/>
    </x:row>
    <x:row r="13" ht="26" customHeight="1">
      <x:c r="A13" s="219" t="str">
        <x:v>Zero-body routes</x:v>
      </x:c>
      <x:c r="B13" s="220" t="n">
        <x:f>COUNTIF('Routes'!$P$2:$P$62,0)</x:f>
        <x:v>50</x:v>
      </x:c>
      <x:c r="C13" s="200"/>
      <x:c r="D13" s="221"/>
      <x:c r="E13" s="222"/>
      <x:c r="F13" s="222"/>
      <x:c r="G13" s="222"/>
      <x:c r="H13" s="223"/>
    </x:row>
    <x:row r="14" ht="26" customHeight="1">
      <x:c r="A14" s="200"/>
      <x:c r="B14" s="200"/>
      <x:c r="C14" s="200"/>
      <x:c r="D14" s="221"/>
      <x:c r="E14" s="222"/>
      <x:c r="F14" s="222"/>
      <x:c r="G14" s="222"/>
      <x:c r="H14" s="223"/>
    </x:row>
    <x:row r="15" ht="26" customHeight="1">
      <x:c r="A15" s="200"/>
      <x:c r="B15" s="200"/>
      <x:c r="C15" s="200"/>
      <x:c r="D15" s="224"/>
      <x:c r="E15" s="225"/>
      <x:c r="F15" s="225"/>
      <x:c r="G15" s="225"/>
      <x:c r="H15" s="226"/>
    </x:row>
    <x:row r="16" ht="32" customHeight="1">
      <x:c r="A16" s="268" t="str">
        <x:v>Claim boundary: 0 human observations · 0 native validations · 0 term promotions · no intelligibility or lane-completion claim</x:v>
      </x:c>
      <x:c r="B16" s="268"/>
      <x:c r="C16" s="268"/>
      <x:c r="D16" s="268"/>
      <x:c r="E16" s="268"/>
      <x:c r="F16" s="268"/>
      <x:c r="G16" s="268"/>
      <x:c r="H16" s="268"/>
    </x:row>
  </x:sheetData>
  <x:mergeCells>
    <x:mergeCell ref="A1:H2"/>
    <x:mergeCell ref="A3:H3"/>
    <x:mergeCell ref="D5:H5"/>
    <x:mergeCell ref="D6:H9"/>
    <x:mergeCell ref="D11:H11"/>
    <x:mergeCell ref="D12:H15"/>
    <x:mergeCell ref="A16:H16"/>
  </x:mergeCells>
  <x:pageMargins left="0.7" right="0.7" top="0.75" bottom="0.75" header="0.3" footer="0.3"/>
</x:worksheet>
</file>